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39e00229deccb9/Desktop/"/>
    </mc:Choice>
  </mc:AlternateContent>
  <xr:revisionPtr revIDLastSave="13" documentId="8_{DBD4DACF-D578-4983-A960-5F73F0CE3AF6}" xr6:coauthVersionLast="47" xr6:coauthVersionMax="47" xr10:uidLastSave="{47A076BB-586C-44A4-AAEE-57F79F6F80EB}"/>
  <bookViews>
    <workbookView xWindow="-110" yWindow="-110" windowWidth="25820" windowHeight="13900" xr2:uid="{3713721D-05AC-4DDD-9553-DD86D2EA396A}"/>
  </bookViews>
  <sheets>
    <sheet name="Finances - Nissan" sheetId="1" r:id="rId1"/>
  </sheets>
  <definedNames>
    <definedName name="_xlnm._FilterDatabase" localSheetId="0" hidden="1">'Finances - Nissan'!$A$7:$J$7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9" i="1" l="1"/>
  <c r="D188" i="1"/>
  <c r="D187" i="1"/>
  <c r="D186" i="1"/>
  <c r="D185" i="1"/>
  <c r="D184" i="1"/>
  <c r="D183" i="1"/>
  <c r="D182" i="1"/>
  <c r="D181" i="1"/>
  <c r="D180" i="1"/>
  <c r="D179" i="1"/>
  <c r="D178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E4" i="1"/>
  <c r="E3" i="1"/>
  <c r="E2" i="1" l="1"/>
  <c r="E145" i="1" s="1"/>
  <c r="F33" i="1"/>
  <c r="I44" i="1"/>
  <c r="E54" i="1"/>
  <c r="I122" i="1"/>
  <c r="I141" i="1"/>
  <c r="J138" i="1"/>
  <c r="E130" i="1"/>
  <c r="I41" i="1"/>
  <c r="J38" i="1"/>
  <c r="E30" i="1"/>
  <c r="E129" i="1"/>
  <c r="J77" i="1"/>
  <c r="F26" i="1"/>
  <c r="J135" i="1"/>
  <c r="E127" i="1"/>
  <c r="F124" i="1"/>
  <c r="E27" i="1"/>
  <c r="J15" i="1"/>
  <c r="I109" i="1"/>
  <c r="E164" i="1"/>
  <c r="F161" i="1"/>
  <c r="I155" i="1"/>
  <c r="E64" i="1"/>
  <c r="F61" i="1"/>
  <c r="I55" i="1"/>
  <c r="F126" i="1"/>
  <c r="I100" i="1"/>
  <c r="J57" i="1"/>
  <c r="E121" i="1"/>
  <c r="F118" i="1"/>
  <c r="I112" i="1"/>
  <c r="E21" i="1"/>
  <c r="F18" i="1"/>
  <c r="I12" i="1"/>
  <c r="I77" i="1"/>
  <c r="F43" i="1"/>
  <c r="J189" i="1"/>
  <c r="J86" i="1"/>
  <c r="F75" i="1"/>
  <c r="J46" i="1"/>
  <c r="J163" i="1"/>
  <c r="E155" i="1"/>
  <c r="F152" i="1"/>
  <c r="J63" i="1"/>
  <c r="E55" i="1"/>
  <c r="F52" i="1"/>
  <c r="I186" i="1"/>
  <c r="J183" i="1"/>
  <c r="E172" i="1"/>
  <c r="I83" i="1"/>
  <c r="J80" i="1"/>
  <c r="E72" i="1"/>
  <c r="I177" i="1"/>
  <c r="I174" i="1"/>
  <c r="J171" i="1"/>
  <c r="F80" i="1"/>
  <c r="I74" i="1"/>
  <c r="J71" i="1"/>
  <c r="E180" i="1"/>
  <c r="F177" i="1"/>
  <c r="J165" i="1"/>
  <c r="F137" i="1"/>
  <c r="I131" i="1"/>
  <c r="J128" i="1"/>
  <c r="F17" i="1"/>
  <c r="I11" i="1"/>
  <c r="J188" i="1"/>
  <c r="I93" i="1"/>
  <c r="I99" i="1"/>
  <c r="F105" i="1"/>
  <c r="I182" i="1"/>
  <c r="F188" i="1"/>
  <c r="J22" i="1"/>
  <c r="J182" i="1"/>
  <c r="I50" i="1"/>
  <c r="F88" i="1"/>
  <c r="D190" i="1"/>
  <c r="E77" i="1"/>
  <c r="E94" i="1"/>
  <c r="J124" i="1"/>
  <c r="I176" i="1" l="1"/>
  <c r="I166" i="1"/>
  <c r="I38" i="1"/>
  <c r="E186" i="1"/>
  <c r="I132" i="1"/>
  <c r="F144" i="1"/>
  <c r="J34" i="1"/>
  <c r="F81" i="1"/>
  <c r="J114" i="1"/>
  <c r="I161" i="1"/>
  <c r="J44" i="1"/>
  <c r="J48" i="1"/>
  <c r="F109" i="1"/>
  <c r="J186" i="1"/>
  <c r="F66" i="1"/>
  <c r="J92" i="1"/>
  <c r="F67" i="1"/>
  <c r="E8" i="1"/>
  <c r="J168" i="1"/>
  <c r="E146" i="1"/>
  <c r="F92" i="1"/>
  <c r="F86" i="1"/>
  <c r="I152" i="1"/>
  <c r="I95" i="1"/>
  <c r="F64" i="1"/>
  <c r="F164" i="1"/>
  <c r="F15" i="1"/>
  <c r="E70" i="1"/>
  <c r="E170" i="1"/>
  <c r="I162" i="1"/>
  <c r="J28" i="1"/>
  <c r="F183" i="1"/>
  <c r="F123" i="1"/>
  <c r="I138" i="1"/>
  <c r="E159" i="1"/>
  <c r="I157" i="1"/>
  <c r="E150" i="1"/>
  <c r="F159" i="1"/>
  <c r="I151" i="1"/>
  <c r="E75" i="1"/>
  <c r="F186" i="1"/>
  <c r="E12" i="1"/>
  <c r="E47" i="1"/>
  <c r="F54" i="1"/>
  <c r="E118" i="1"/>
  <c r="I61" i="1"/>
  <c r="I28" i="1"/>
  <c r="E111" i="1"/>
  <c r="E160" i="1"/>
  <c r="J134" i="1"/>
  <c r="I86" i="1"/>
  <c r="J49" i="1"/>
  <c r="I58" i="1"/>
  <c r="F167" i="1"/>
  <c r="J99" i="1"/>
  <c r="J68" i="1"/>
  <c r="J11" i="1"/>
  <c r="E112" i="1"/>
  <c r="I189" i="1"/>
  <c r="J43" i="1"/>
  <c r="I105" i="1"/>
  <c r="I22" i="1"/>
  <c r="I14" i="1"/>
  <c r="F163" i="1"/>
  <c r="I37" i="1"/>
  <c r="F158" i="1"/>
  <c r="F101" i="1"/>
  <c r="I117" i="1"/>
  <c r="E167" i="1"/>
  <c r="I29" i="1"/>
  <c r="J78" i="1"/>
  <c r="J181" i="1"/>
  <c r="J156" i="1"/>
  <c r="J8" i="1"/>
  <c r="J29" i="1"/>
  <c r="F47" i="1"/>
  <c r="J148" i="1"/>
  <c r="E98" i="1"/>
  <c r="E50" i="1"/>
  <c r="E153" i="1"/>
  <c r="J94" i="1"/>
  <c r="F138" i="1"/>
  <c r="F9" i="1"/>
  <c r="F100" i="1"/>
  <c r="I145" i="1"/>
  <c r="I147" i="1"/>
  <c r="E60" i="1"/>
  <c r="E103" i="1"/>
  <c r="E126" i="1"/>
  <c r="J126" i="1"/>
  <c r="J149" i="1"/>
  <c r="F49" i="1"/>
  <c r="E187" i="1"/>
  <c r="I158" i="1"/>
  <c r="E15" i="1"/>
  <c r="F168" i="1"/>
  <c r="F111" i="1"/>
  <c r="E39" i="1"/>
  <c r="J111" i="1"/>
  <c r="I137" i="1"/>
  <c r="I129" i="1"/>
  <c r="I52" i="1"/>
  <c r="F83" i="1"/>
  <c r="E136" i="1"/>
  <c r="J93" i="1"/>
  <c r="I71" i="1"/>
  <c r="I171" i="1"/>
  <c r="I114" i="1"/>
  <c r="J120" i="1"/>
  <c r="J17" i="1"/>
  <c r="E95" i="1"/>
  <c r="F135" i="1"/>
  <c r="E109" i="1"/>
  <c r="F58" i="1"/>
  <c r="E38" i="1"/>
  <c r="E67" i="1"/>
  <c r="E56" i="1"/>
  <c r="E88" i="1"/>
  <c r="E71" i="1"/>
  <c r="J85" i="1"/>
  <c r="F77" i="1"/>
  <c r="F180" i="1"/>
  <c r="F20" i="1"/>
  <c r="F120" i="1"/>
  <c r="J174" i="1"/>
  <c r="I123" i="1"/>
  <c r="E49" i="1"/>
  <c r="J103" i="1"/>
  <c r="I57" i="1"/>
  <c r="E138" i="1"/>
  <c r="J157" i="1"/>
  <c r="E61" i="1"/>
  <c r="E161" i="1"/>
  <c r="E58" i="1"/>
  <c r="E104" i="1"/>
  <c r="F143" i="1"/>
  <c r="J75" i="1"/>
  <c r="J175" i="1"/>
  <c r="I69" i="1"/>
  <c r="I81" i="1"/>
  <c r="I184" i="1"/>
  <c r="F13" i="1"/>
  <c r="E93" i="1"/>
  <c r="I16" i="1"/>
  <c r="F116" i="1"/>
  <c r="E162" i="1"/>
  <c r="I10" i="1"/>
  <c r="F150" i="1"/>
  <c r="I79" i="1"/>
  <c r="F68" i="1"/>
  <c r="F14" i="1"/>
  <c r="I90" i="1"/>
  <c r="E25" i="1"/>
  <c r="I142" i="1"/>
  <c r="J130" i="1"/>
  <c r="J101" i="1"/>
  <c r="I13" i="1"/>
  <c r="J59" i="1"/>
  <c r="E76" i="1"/>
  <c r="F145" i="1"/>
  <c r="I133" i="1"/>
  <c r="J104" i="1"/>
  <c r="J53" i="1"/>
  <c r="I173" i="1"/>
  <c r="F85" i="1"/>
  <c r="I25" i="1"/>
  <c r="E156" i="1"/>
  <c r="I96" i="1"/>
  <c r="J30" i="1"/>
  <c r="J119" i="1"/>
  <c r="E154" i="1"/>
  <c r="F125" i="1"/>
  <c r="J84" i="1"/>
  <c r="J41" i="1"/>
  <c r="E96" i="1"/>
  <c r="I8" i="1"/>
  <c r="I136" i="1"/>
  <c r="F62" i="1"/>
  <c r="F19" i="1"/>
  <c r="E171" i="1"/>
  <c r="I130" i="1"/>
  <c r="E62" i="1"/>
  <c r="F8" i="1"/>
  <c r="C8" i="1"/>
  <c r="F22" i="1"/>
  <c r="I70" i="1"/>
  <c r="I187" i="1"/>
  <c r="F48" i="1"/>
  <c r="E11" i="1"/>
  <c r="J144" i="1"/>
  <c r="I36" i="1"/>
  <c r="J14" i="1"/>
  <c r="J73" i="1"/>
  <c r="J62" i="1"/>
  <c r="E148" i="1"/>
  <c r="I107" i="1"/>
  <c r="J24" i="1"/>
  <c r="E128" i="1"/>
  <c r="J27" i="1"/>
  <c r="E151" i="1"/>
  <c r="J133" i="1"/>
  <c r="E99" i="1"/>
  <c r="E65" i="1"/>
  <c r="F11" i="1"/>
  <c r="I139" i="1"/>
  <c r="J179" i="1"/>
  <c r="E114" i="1"/>
  <c r="I102" i="1"/>
  <c r="F185" i="1"/>
  <c r="F25" i="1"/>
  <c r="E131" i="1"/>
  <c r="F102" i="1"/>
  <c r="E68" i="1"/>
  <c r="I30" i="1"/>
  <c r="E179" i="1"/>
  <c r="F90" i="1"/>
  <c r="F73" i="1"/>
  <c r="J56" i="1"/>
  <c r="F119" i="1"/>
  <c r="I24" i="1"/>
  <c r="F76" i="1"/>
  <c r="J139" i="1"/>
  <c r="I110" i="1"/>
  <c r="J162" i="1"/>
  <c r="F42" i="1"/>
  <c r="I47" i="1"/>
  <c r="F36" i="1"/>
  <c r="I73" i="1"/>
  <c r="J142" i="1"/>
  <c r="F148" i="1"/>
  <c r="I84" i="1"/>
  <c r="J67" i="1"/>
  <c r="F142" i="1"/>
  <c r="E34" i="1"/>
  <c r="I116" i="1"/>
  <c r="F99" i="1"/>
  <c r="I87" i="1"/>
  <c r="J70" i="1"/>
  <c r="I48" i="1"/>
  <c r="J16" i="1"/>
  <c r="F122" i="1"/>
  <c r="I27" i="1"/>
  <c r="E122" i="1"/>
  <c r="J81" i="1"/>
  <c r="F156" i="1"/>
  <c r="J102" i="1"/>
  <c r="J47" i="1"/>
  <c r="E85" i="1"/>
  <c r="E42" i="1"/>
  <c r="F131" i="1"/>
  <c r="J90" i="1"/>
  <c r="E185" i="1"/>
  <c r="E102" i="1"/>
  <c r="I62" i="1"/>
  <c r="E51" i="1"/>
  <c r="F171" i="1"/>
  <c r="I56" i="1"/>
  <c r="J13" i="1"/>
  <c r="J153" i="1"/>
  <c r="E113" i="1"/>
  <c r="J110" i="1"/>
  <c r="F93" i="1"/>
  <c r="F65" i="1"/>
  <c r="E33" i="1"/>
  <c r="J187" i="1"/>
  <c r="I59" i="1"/>
  <c r="E22" i="1"/>
  <c r="E174" i="1"/>
  <c r="E37" i="1"/>
  <c r="J79" i="1"/>
  <c r="E53" i="1"/>
  <c r="I179" i="1"/>
  <c r="F108" i="1"/>
  <c r="I125" i="1"/>
  <c r="F10" i="1"/>
  <c r="F179" i="1"/>
  <c r="J113" i="1"/>
  <c r="E36" i="1"/>
  <c r="I113" i="1"/>
  <c r="I19" i="1"/>
  <c r="J136" i="1"/>
  <c r="J107" i="1"/>
  <c r="F30" i="1"/>
  <c r="I165" i="1"/>
  <c r="F113" i="1"/>
  <c r="E73" i="1"/>
  <c r="F34" i="1"/>
  <c r="E116" i="1"/>
  <c r="F110" i="1"/>
  <c r="I104" i="1"/>
  <c r="F70" i="1"/>
  <c r="F59" i="1"/>
  <c r="I53" i="1"/>
  <c r="E48" i="1"/>
  <c r="J42" i="1"/>
  <c r="F16" i="1"/>
  <c r="I150" i="1"/>
  <c r="E91" i="1"/>
  <c r="E31" i="1"/>
  <c r="J25" i="1"/>
  <c r="J10" i="1"/>
  <c r="I68" i="1"/>
  <c r="J167" i="1"/>
  <c r="F173" i="1"/>
  <c r="J161" i="1"/>
  <c r="E14" i="1"/>
  <c r="I119" i="1"/>
  <c r="F96" i="1"/>
  <c r="E79" i="1"/>
  <c r="F51" i="1"/>
  <c r="J45" i="1"/>
  <c r="E177" i="1"/>
  <c r="E119" i="1"/>
  <c r="I67" i="1"/>
  <c r="F91" i="1"/>
  <c r="I85" i="1"/>
  <c r="F74" i="1"/>
  <c r="J64" i="1"/>
  <c r="E59" i="1"/>
  <c r="I42" i="1"/>
  <c r="F31" i="1"/>
  <c r="J21" i="1"/>
  <c r="E16" i="1"/>
  <c r="J185" i="1"/>
  <c r="J173" i="1"/>
  <c r="F162" i="1"/>
  <c r="E139" i="1"/>
  <c r="E133" i="1"/>
  <c r="J121" i="1"/>
  <c r="E74" i="1"/>
  <c r="I64" i="1"/>
  <c r="F53" i="1"/>
  <c r="J36" i="1"/>
  <c r="I185" i="1"/>
  <c r="I144" i="1"/>
  <c r="J96" i="1"/>
  <c r="I167" i="1"/>
  <c r="E108" i="1"/>
  <c r="E57" i="1"/>
  <c r="E173" i="1"/>
  <c r="F79" i="1"/>
  <c r="J19" i="1"/>
  <c r="E125" i="1"/>
  <c r="J184" i="1"/>
  <c r="I45" i="1"/>
  <c r="J159" i="1"/>
  <c r="E19" i="1"/>
  <c r="E40" i="1"/>
  <c r="E92" i="1"/>
  <c r="I32" i="1"/>
  <c r="I175" i="1"/>
  <c r="F45" i="1"/>
  <c r="J100" i="1"/>
  <c r="F38" i="1"/>
  <c r="E147" i="1"/>
  <c r="J39" i="1"/>
  <c r="F157" i="1"/>
  <c r="E178" i="1"/>
  <c r="J155" i="1"/>
  <c r="F50" i="1"/>
  <c r="E123" i="1"/>
  <c r="I97" i="1"/>
  <c r="J169" i="1"/>
  <c r="J178" i="1"/>
  <c r="E176" i="1"/>
  <c r="F71" i="1"/>
  <c r="I88" i="1"/>
  <c r="E132" i="1"/>
  <c r="I149" i="1"/>
  <c r="I172" i="1"/>
  <c r="E29" i="1"/>
  <c r="E168" i="1"/>
  <c r="E28" i="1"/>
  <c r="E97" i="1"/>
  <c r="I120" i="1"/>
  <c r="E115" i="1"/>
  <c r="J23" i="1"/>
  <c r="F78" i="1"/>
  <c r="F181" i="1"/>
  <c r="F46" i="1"/>
  <c r="F187" i="1"/>
  <c r="I18" i="1"/>
  <c r="J98" i="1"/>
  <c r="I164" i="1"/>
  <c r="I156" i="1"/>
  <c r="I188" i="1"/>
  <c r="J33" i="1"/>
  <c r="E17" i="1"/>
  <c r="I128" i="1"/>
  <c r="F97" i="1"/>
  <c r="I108" i="1"/>
  <c r="F40" i="1"/>
  <c r="F140" i="1"/>
  <c r="F189" i="1"/>
  <c r="I143" i="1"/>
  <c r="J137" i="1"/>
  <c r="J123" i="1"/>
  <c r="I40" i="1"/>
  <c r="E158" i="1"/>
  <c r="I9" i="1"/>
  <c r="E81" i="1"/>
  <c r="E184" i="1"/>
  <c r="E24" i="1"/>
  <c r="E124" i="1"/>
  <c r="F106" i="1"/>
  <c r="J95" i="1"/>
  <c r="J54" i="1"/>
  <c r="F24" i="1"/>
  <c r="I101" i="1"/>
  <c r="F128" i="1"/>
  <c r="J150" i="1"/>
  <c r="F82" i="1"/>
  <c r="F89" i="1"/>
  <c r="J129" i="1"/>
  <c r="J172" i="1"/>
  <c r="J170" i="1"/>
  <c r="F63" i="1"/>
  <c r="E182" i="1"/>
  <c r="I31" i="1"/>
  <c r="F115" i="1"/>
  <c r="I178" i="1"/>
  <c r="I103" i="1"/>
  <c r="E9" i="1"/>
  <c r="E141" i="1"/>
  <c r="E32" i="1"/>
  <c r="F184" i="1"/>
  <c r="E183" i="1"/>
  <c r="E189" i="1"/>
  <c r="F56" i="1"/>
  <c r="E83" i="1"/>
  <c r="F95" i="1"/>
  <c r="F147" i="1"/>
  <c r="E20" i="1"/>
  <c r="F172" i="1"/>
  <c r="I183" i="1"/>
  <c r="I65" i="1"/>
  <c r="E175" i="1"/>
  <c r="J58" i="1"/>
  <c r="F37" i="1"/>
  <c r="E41" i="1"/>
  <c r="F29" i="1"/>
  <c r="E45" i="1"/>
  <c r="F94" i="1"/>
  <c r="J37" i="1"/>
  <c r="I106" i="1"/>
  <c r="J69" i="1"/>
  <c r="I78" i="1"/>
  <c r="F87" i="1"/>
  <c r="I39" i="1"/>
  <c r="J88" i="1"/>
  <c r="J97" i="1"/>
  <c r="E166" i="1"/>
  <c r="I72" i="1"/>
  <c r="I115" i="1"/>
  <c r="J12" i="1"/>
  <c r="F170" i="1"/>
  <c r="J61" i="1"/>
  <c r="I34" i="1"/>
  <c r="I20" i="1"/>
  <c r="E87" i="1"/>
  <c r="F28" i="1"/>
  <c r="E100" i="1"/>
  <c r="I23" i="1"/>
  <c r="I126" i="1"/>
  <c r="E18" i="1"/>
  <c r="J32" i="1"/>
  <c r="I160" i="1"/>
  <c r="I98" i="1"/>
  <c r="E66" i="1"/>
  <c r="F107" i="1"/>
  <c r="F176" i="1"/>
  <c r="J125" i="1"/>
  <c r="E52" i="1"/>
  <c r="J20" i="1"/>
  <c r="F132" i="1"/>
  <c r="I80" i="1"/>
  <c r="I169" i="1"/>
  <c r="F35" i="1"/>
  <c r="I92" i="1"/>
  <c r="F23" i="1"/>
  <c r="I35" i="1"/>
  <c r="I135" i="1"/>
  <c r="J40" i="1"/>
  <c r="F104" i="1"/>
  <c r="E86" i="1"/>
  <c r="E10" i="1"/>
  <c r="E110" i="1"/>
  <c r="J116" i="1"/>
  <c r="F133" i="1"/>
  <c r="I170" i="1"/>
  <c r="I66" i="1"/>
  <c r="J72" i="1"/>
  <c r="I76" i="1"/>
  <c r="I75" i="1"/>
  <c r="I51" i="1"/>
  <c r="F151" i="1"/>
  <c r="F153" i="1"/>
  <c r="F57" i="1"/>
  <c r="F103" i="1"/>
  <c r="E84" i="1"/>
  <c r="E80" i="1"/>
  <c r="F129" i="1"/>
  <c r="J146" i="1"/>
  <c r="J106" i="1"/>
  <c r="I89" i="1"/>
  <c r="I33" i="1"/>
  <c r="J131" i="1"/>
  <c r="F112" i="1"/>
  <c r="I43" i="1"/>
  <c r="I15" i="1"/>
  <c r="I181" i="1"/>
  <c r="E90" i="1"/>
  <c r="I91" i="1"/>
  <c r="J117" i="1"/>
  <c r="F21" i="1"/>
  <c r="J176" i="1"/>
  <c r="F134" i="1"/>
  <c r="E43" i="1"/>
  <c r="F149" i="1"/>
  <c r="I60" i="1"/>
  <c r="I17" i="1"/>
  <c r="F139" i="1"/>
  <c r="E165" i="1"/>
  <c r="J108" i="1"/>
  <c r="J51" i="1"/>
  <c r="J76" i="1"/>
  <c r="E157" i="1"/>
  <c r="I111" i="1"/>
  <c r="E137" i="1"/>
  <c r="I54" i="1"/>
  <c r="I154" i="1"/>
  <c r="J60" i="1"/>
  <c r="J160" i="1"/>
  <c r="I26" i="1"/>
  <c r="E135" i="1"/>
  <c r="F146" i="1"/>
  <c r="F175" i="1"/>
  <c r="F55" i="1"/>
  <c r="F98" i="1"/>
  <c r="E46" i="1"/>
  <c r="F41" i="1"/>
  <c r="F141" i="1"/>
  <c r="J26" i="1"/>
  <c r="E107" i="1"/>
  <c r="E106" i="1"/>
  <c r="J18" i="1"/>
  <c r="J118" i="1"/>
  <c r="E105" i="1"/>
  <c r="I127" i="1"/>
  <c r="E13" i="1"/>
  <c r="E152" i="1"/>
  <c r="I153" i="1"/>
  <c r="E142" i="1"/>
  <c r="J65" i="1"/>
  <c r="E134" i="1"/>
  <c r="F117" i="1"/>
  <c r="F60" i="1"/>
  <c r="I63" i="1"/>
  <c r="F32" i="1"/>
  <c r="J143" i="1"/>
  <c r="F12" i="1"/>
  <c r="F178" i="1"/>
  <c r="E78" i="1"/>
  <c r="E101" i="1"/>
  <c r="E44" i="1"/>
  <c r="E144" i="1"/>
  <c r="I49" i="1"/>
  <c r="J115" i="1"/>
  <c r="J154" i="1"/>
  <c r="I21" i="1"/>
  <c r="I121" i="1"/>
  <c r="J87" i="1"/>
  <c r="J82" i="1"/>
  <c r="E140" i="1"/>
  <c r="E26" i="1"/>
  <c r="I140" i="1"/>
  <c r="E149" i="1"/>
  <c r="J50" i="1"/>
  <c r="J91" i="1"/>
  <c r="F72" i="1"/>
  <c r="F166" i="1"/>
  <c r="F44" i="1"/>
  <c r="I94" i="1"/>
  <c r="J158" i="1"/>
  <c r="J141" i="1"/>
  <c r="J83" i="1"/>
  <c r="J55" i="1"/>
  <c r="I82" i="1"/>
  <c r="E23" i="1"/>
  <c r="E69" i="1"/>
  <c r="J180" i="1"/>
  <c r="J112" i="1"/>
  <c r="J127" i="1"/>
  <c r="J105" i="1"/>
  <c r="J31" i="1"/>
  <c r="E89" i="1"/>
  <c r="F84" i="1"/>
  <c r="E117" i="1"/>
  <c r="I134" i="1"/>
  <c r="J140" i="1"/>
  <c r="F155" i="1"/>
  <c r="F121" i="1"/>
  <c r="F165" i="1"/>
  <c r="E188" i="1"/>
  <c r="F114" i="1"/>
  <c r="E143" i="1"/>
  <c r="E169" i="1"/>
  <c r="J166" i="1"/>
  <c r="J89" i="1"/>
  <c r="J132" i="1"/>
  <c r="J35" i="1"/>
  <c r="I159" i="1"/>
  <c r="J145" i="1"/>
  <c r="J151" i="1"/>
  <c r="J147" i="1"/>
  <c r="J164" i="1"/>
  <c r="F130" i="1"/>
  <c r="I168" i="1"/>
  <c r="I148" i="1"/>
  <c r="F160" i="1"/>
  <c r="I163" i="1"/>
  <c r="J74" i="1"/>
  <c r="F136" i="1"/>
  <c r="I124" i="1"/>
  <c r="F39" i="1"/>
  <c r="J122" i="1"/>
  <c r="F174" i="1"/>
  <c r="E120" i="1"/>
  <c r="F154" i="1"/>
  <c r="E63" i="1"/>
  <c r="E163" i="1"/>
  <c r="F69" i="1"/>
  <c r="F169" i="1"/>
  <c r="I46" i="1"/>
  <c r="I146" i="1"/>
  <c r="E35" i="1"/>
  <c r="E181" i="1"/>
  <c r="J9" i="1"/>
  <c r="J109" i="1"/>
  <c r="I180" i="1"/>
  <c r="J52" i="1"/>
  <c r="J152" i="1"/>
  <c r="J66" i="1"/>
  <c r="I118" i="1"/>
  <c r="J177" i="1"/>
  <c r="F27" i="1"/>
  <c r="F127" i="1"/>
  <c r="E82" i="1"/>
  <c r="F182" i="1"/>
  <c r="E190" i="1" l="1"/>
  <c r="G8" i="1"/>
  <c r="C9" i="1" s="1"/>
  <c r="G9" i="1" s="1"/>
  <c r="C10" i="1" s="1"/>
  <c r="G10" i="1" s="1"/>
  <c r="C11" i="1" s="1"/>
  <c r="G11" i="1" s="1"/>
  <c r="C12" i="1" s="1"/>
  <c r="G12" i="1" s="1"/>
  <c r="C13" i="1" s="1"/>
  <c r="G13" i="1" s="1"/>
  <c r="C14" i="1" s="1"/>
  <c r="G14" i="1" s="1"/>
  <c r="C15" i="1" s="1"/>
  <c r="G15" i="1" s="1"/>
  <c r="C16" i="1" s="1"/>
  <c r="G16" i="1" s="1"/>
  <c r="C17" i="1" s="1"/>
  <c r="G17" i="1" s="1"/>
  <c r="C18" i="1" s="1"/>
  <c r="G18" i="1" s="1"/>
  <c r="C19" i="1" s="1"/>
  <c r="G19" i="1" s="1"/>
  <c r="C20" i="1" s="1"/>
  <c r="G20" i="1" s="1"/>
  <c r="C21" i="1" s="1"/>
  <c r="G21" i="1" s="1"/>
  <c r="C22" i="1" s="1"/>
  <c r="G22" i="1" s="1"/>
  <c r="C23" i="1" s="1"/>
  <c r="G23" i="1" s="1"/>
  <c r="C24" i="1" s="1"/>
  <c r="G24" i="1" s="1"/>
  <c r="C25" i="1" s="1"/>
  <c r="G25" i="1" s="1"/>
  <c r="C26" i="1" s="1"/>
  <c r="G26" i="1" s="1"/>
  <c r="C27" i="1" s="1"/>
  <c r="G27" i="1" s="1"/>
  <c r="C28" i="1" s="1"/>
  <c r="G28" i="1" s="1"/>
  <c r="C29" i="1" s="1"/>
  <c r="G29" i="1" s="1"/>
  <c r="C30" i="1" s="1"/>
  <c r="G30" i="1" s="1"/>
  <c r="C31" i="1" s="1"/>
  <c r="G31" i="1" s="1"/>
  <c r="C32" i="1" s="1"/>
  <c r="G32" i="1" s="1"/>
  <c r="C33" i="1" s="1"/>
  <c r="G33" i="1" s="1"/>
  <c r="C34" i="1" s="1"/>
  <c r="G34" i="1" s="1"/>
  <c r="C35" i="1" s="1"/>
  <c r="G35" i="1" s="1"/>
  <c r="C36" i="1" s="1"/>
  <c r="G36" i="1" s="1"/>
  <c r="C37" i="1" s="1"/>
  <c r="G37" i="1" s="1"/>
  <c r="C38" i="1" s="1"/>
  <c r="G38" i="1" s="1"/>
  <c r="C39" i="1" s="1"/>
  <c r="G39" i="1" s="1"/>
  <c r="C40" i="1" s="1"/>
  <c r="G40" i="1" s="1"/>
  <c r="C41" i="1" s="1"/>
  <c r="G41" i="1" s="1"/>
  <c r="C42" i="1" s="1"/>
  <c r="G42" i="1" s="1"/>
  <c r="C43" i="1" s="1"/>
  <c r="G43" i="1" s="1"/>
  <c r="C44" i="1" s="1"/>
  <c r="G44" i="1" s="1"/>
  <c r="C45" i="1" s="1"/>
  <c r="G45" i="1" s="1"/>
  <c r="C46" i="1" s="1"/>
  <c r="G46" i="1" s="1"/>
  <c r="C47" i="1" s="1"/>
  <c r="G47" i="1" s="1"/>
  <c r="C48" i="1" s="1"/>
  <c r="G48" i="1" s="1"/>
  <c r="C49" i="1" s="1"/>
  <c r="G49" i="1" s="1"/>
  <c r="C50" i="1" s="1"/>
  <c r="G50" i="1" s="1"/>
  <c r="C51" i="1" s="1"/>
  <c r="G51" i="1" s="1"/>
  <c r="C52" i="1" s="1"/>
  <c r="G52" i="1" s="1"/>
  <c r="C53" i="1" s="1"/>
  <c r="G53" i="1" s="1"/>
  <c r="C54" i="1" s="1"/>
  <c r="G54" i="1" s="1"/>
  <c r="C55" i="1" s="1"/>
  <c r="G55" i="1" s="1"/>
  <c r="C56" i="1" s="1"/>
  <c r="G56" i="1" s="1"/>
  <c r="C57" i="1" s="1"/>
  <c r="G57" i="1" s="1"/>
  <c r="C58" i="1" s="1"/>
  <c r="G58" i="1" s="1"/>
  <c r="C59" i="1" s="1"/>
  <c r="G59" i="1" s="1"/>
  <c r="C60" i="1" s="1"/>
  <c r="G60" i="1" s="1"/>
  <c r="C61" i="1" s="1"/>
  <c r="G61" i="1" s="1"/>
  <c r="C62" i="1" s="1"/>
  <c r="G62" i="1" s="1"/>
  <c r="C63" i="1" s="1"/>
  <c r="G63" i="1" s="1"/>
  <c r="C64" i="1" s="1"/>
  <c r="G64" i="1" s="1"/>
  <c r="C65" i="1" s="1"/>
  <c r="G65" i="1" s="1"/>
  <c r="C66" i="1" s="1"/>
  <c r="G66" i="1" s="1"/>
  <c r="C67" i="1" s="1"/>
  <c r="G67" i="1" s="1"/>
  <c r="C68" i="1" s="1"/>
  <c r="G68" i="1" s="1"/>
  <c r="C69" i="1" s="1"/>
  <c r="G69" i="1" s="1"/>
  <c r="C70" i="1" s="1"/>
  <c r="G70" i="1" s="1"/>
  <c r="C71" i="1" s="1"/>
  <c r="G71" i="1" s="1"/>
  <c r="C72" i="1" s="1"/>
  <c r="G72" i="1" s="1"/>
  <c r="C73" i="1" s="1"/>
  <c r="G73" i="1" s="1"/>
  <c r="C74" i="1" s="1"/>
  <c r="G74" i="1" s="1"/>
  <c r="C75" i="1" s="1"/>
  <c r="G75" i="1" s="1"/>
  <c r="C76" i="1" s="1"/>
  <c r="G76" i="1" s="1"/>
  <c r="C77" i="1" s="1"/>
  <c r="G77" i="1" s="1"/>
  <c r="C78" i="1" s="1"/>
  <c r="G78" i="1" s="1"/>
  <c r="C79" i="1" s="1"/>
  <c r="G79" i="1" s="1"/>
  <c r="C80" i="1" s="1"/>
  <c r="G80" i="1" s="1"/>
  <c r="C81" i="1" s="1"/>
  <c r="G81" i="1" s="1"/>
  <c r="C82" i="1" s="1"/>
  <c r="G82" i="1" s="1"/>
  <c r="C83" i="1" s="1"/>
  <c r="G83" i="1" s="1"/>
  <c r="C84" i="1" s="1"/>
  <c r="G84" i="1" s="1"/>
  <c r="C85" i="1" s="1"/>
  <c r="G85" i="1" s="1"/>
  <c r="C86" i="1" s="1"/>
  <c r="G86" i="1" s="1"/>
  <c r="C87" i="1" s="1"/>
  <c r="G87" i="1" s="1"/>
  <c r="C88" i="1" s="1"/>
  <c r="G88" i="1" s="1"/>
  <c r="C89" i="1" s="1"/>
  <c r="G89" i="1" s="1"/>
  <c r="C90" i="1" s="1"/>
  <c r="G90" i="1" s="1"/>
  <c r="C91" i="1" s="1"/>
  <c r="G91" i="1" s="1"/>
  <c r="C92" i="1" s="1"/>
  <c r="G92" i="1" s="1"/>
  <c r="C93" i="1" s="1"/>
  <c r="G93" i="1" s="1"/>
  <c r="C94" i="1" s="1"/>
  <c r="G94" i="1" s="1"/>
  <c r="C95" i="1" s="1"/>
  <c r="G95" i="1" s="1"/>
  <c r="C96" i="1" s="1"/>
  <c r="G96" i="1" s="1"/>
  <c r="C97" i="1" s="1"/>
  <c r="G97" i="1" s="1"/>
  <c r="C98" i="1" s="1"/>
  <c r="G98" i="1" s="1"/>
  <c r="C99" i="1" s="1"/>
  <c r="G99" i="1" s="1"/>
  <c r="C100" i="1" s="1"/>
  <c r="G100" i="1" s="1"/>
  <c r="C101" i="1" s="1"/>
  <c r="G101" i="1" s="1"/>
  <c r="C102" i="1" s="1"/>
  <c r="G102" i="1" s="1"/>
  <c r="C103" i="1" s="1"/>
  <c r="G103" i="1" s="1"/>
  <c r="C104" i="1" s="1"/>
  <c r="G104" i="1" s="1"/>
  <c r="C105" i="1" s="1"/>
  <c r="G105" i="1" s="1"/>
  <c r="C106" i="1" s="1"/>
  <c r="G106" i="1" s="1"/>
  <c r="C107" i="1" s="1"/>
  <c r="G107" i="1" s="1"/>
  <c r="C108" i="1" s="1"/>
  <c r="G108" i="1" s="1"/>
  <c r="C109" i="1" s="1"/>
  <c r="G109" i="1" s="1"/>
  <c r="C110" i="1" s="1"/>
  <c r="G110" i="1" s="1"/>
  <c r="C111" i="1" s="1"/>
  <c r="G111" i="1" s="1"/>
  <c r="C112" i="1" s="1"/>
  <c r="G112" i="1" s="1"/>
  <c r="C113" i="1" s="1"/>
  <c r="G113" i="1" s="1"/>
  <c r="C114" i="1" s="1"/>
  <c r="G114" i="1" s="1"/>
  <c r="C115" i="1" s="1"/>
  <c r="G115" i="1" s="1"/>
  <c r="C116" i="1" s="1"/>
  <c r="G116" i="1" s="1"/>
  <c r="C117" i="1" s="1"/>
  <c r="G117" i="1" s="1"/>
  <c r="C118" i="1" s="1"/>
  <c r="G118" i="1" s="1"/>
  <c r="C119" i="1" s="1"/>
  <c r="G119" i="1" s="1"/>
  <c r="C120" i="1" s="1"/>
  <c r="G120" i="1" s="1"/>
  <c r="C121" i="1" s="1"/>
  <c r="G121" i="1" s="1"/>
  <c r="C122" i="1" s="1"/>
  <c r="G122" i="1" s="1"/>
  <c r="C123" i="1" s="1"/>
  <c r="G123" i="1" s="1"/>
  <c r="C124" i="1" s="1"/>
  <c r="G124" i="1" s="1"/>
  <c r="C125" i="1" s="1"/>
  <c r="G125" i="1" s="1"/>
  <c r="C126" i="1" s="1"/>
  <c r="G126" i="1" s="1"/>
  <c r="C127" i="1" s="1"/>
  <c r="G127" i="1" s="1"/>
  <c r="C128" i="1" s="1"/>
  <c r="G128" i="1" s="1"/>
  <c r="C129" i="1" s="1"/>
  <c r="G129" i="1" s="1"/>
  <c r="C130" i="1" s="1"/>
  <c r="G130" i="1" s="1"/>
  <c r="C131" i="1" s="1"/>
  <c r="G131" i="1" s="1"/>
  <c r="C132" i="1" s="1"/>
  <c r="G132" i="1" s="1"/>
  <c r="C133" i="1" s="1"/>
  <c r="G133" i="1" s="1"/>
  <c r="C134" i="1" s="1"/>
  <c r="G134" i="1" s="1"/>
  <c r="C135" i="1" s="1"/>
  <c r="G135" i="1" s="1"/>
  <c r="C136" i="1" s="1"/>
  <c r="G136" i="1" s="1"/>
  <c r="C137" i="1" s="1"/>
  <c r="G137" i="1" s="1"/>
  <c r="C138" i="1" s="1"/>
  <c r="G138" i="1" s="1"/>
  <c r="C139" i="1" s="1"/>
  <c r="G139" i="1" s="1"/>
  <c r="C140" i="1" s="1"/>
  <c r="G140" i="1" s="1"/>
  <c r="C141" i="1" s="1"/>
  <c r="G141" i="1" s="1"/>
  <c r="C142" i="1" s="1"/>
  <c r="G142" i="1" s="1"/>
  <c r="C143" i="1" s="1"/>
  <c r="G143" i="1" s="1"/>
  <c r="C144" i="1" s="1"/>
  <c r="G144" i="1" s="1"/>
  <c r="C145" i="1" s="1"/>
  <c r="G145" i="1" s="1"/>
  <c r="C146" i="1" s="1"/>
  <c r="G146" i="1" s="1"/>
  <c r="C147" i="1" s="1"/>
  <c r="G147" i="1" s="1"/>
  <c r="C148" i="1" s="1"/>
  <c r="G148" i="1" s="1"/>
  <c r="C149" i="1" s="1"/>
  <c r="G149" i="1" s="1"/>
  <c r="C150" i="1" s="1"/>
  <c r="G150" i="1" s="1"/>
  <c r="C151" i="1" s="1"/>
  <c r="G151" i="1" s="1"/>
  <c r="C152" i="1" s="1"/>
  <c r="G152" i="1" s="1"/>
  <c r="C153" i="1" s="1"/>
  <c r="G153" i="1" s="1"/>
  <c r="C154" i="1" s="1"/>
  <c r="G154" i="1" s="1"/>
  <c r="C155" i="1" s="1"/>
  <c r="G155" i="1" s="1"/>
  <c r="C156" i="1" s="1"/>
  <c r="G156" i="1" s="1"/>
  <c r="C157" i="1" s="1"/>
  <c r="G157" i="1" s="1"/>
  <c r="C158" i="1" s="1"/>
  <c r="G158" i="1" s="1"/>
  <c r="C159" i="1" s="1"/>
  <c r="G159" i="1" s="1"/>
  <c r="C160" i="1" s="1"/>
  <c r="G160" i="1" s="1"/>
  <c r="C161" i="1" s="1"/>
  <c r="G161" i="1" s="1"/>
  <c r="C162" i="1" s="1"/>
  <c r="G162" i="1" s="1"/>
  <c r="C163" i="1" s="1"/>
  <c r="G163" i="1" s="1"/>
  <c r="C164" i="1" s="1"/>
  <c r="G164" i="1" s="1"/>
  <c r="C165" i="1" s="1"/>
  <c r="G165" i="1" s="1"/>
  <c r="C166" i="1" s="1"/>
  <c r="G166" i="1" s="1"/>
  <c r="C167" i="1" s="1"/>
  <c r="G167" i="1" s="1"/>
  <c r="C168" i="1" s="1"/>
  <c r="G168" i="1" s="1"/>
  <c r="C169" i="1" s="1"/>
  <c r="G169" i="1" s="1"/>
  <c r="C170" i="1" s="1"/>
  <c r="G170" i="1" s="1"/>
  <c r="C171" i="1" s="1"/>
  <c r="G171" i="1" s="1"/>
  <c r="C172" i="1" s="1"/>
  <c r="G172" i="1" s="1"/>
  <c r="C173" i="1" s="1"/>
  <c r="G173" i="1" s="1"/>
  <c r="C174" i="1" s="1"/>
  <c r="G174" i="1" s="1"/>
  <c r="C175" i="1" s="1"/>
  <c r="G175" i="1" s="1"/>
  <c r="C176" i="1" s="1"/>
  <c r="G176" i="1" s="1"/>
  <c r="C177" i="1" s="1"/>
  <c r="G177" i="1" s="1"/>
  <c r="C178" i="1" s="1"/>
  <c r="G178" i="1" s="1"/>
  <c r="C179" i="1" s="1"/>
  <c r="G179" i="1" s="1"/>
  <c r="C180" i="1" s="1"/>
  <c r="G180" i="1" s="1"/>
  <c r="C181" i="1" s="1"/>
  <c r="G181" i="1" s="1"/>
  <c r="C182" i="1" s="1"/>
  <c r="G182" i="1" s="1"/>
  <c r="C183" i="1" s="1"/>
  <c r="G183" i="1" s="1"/>
  <c r="C184" i="1" s="1"/>
  <c r="G184" i="1" s="1"/>
  <c r="C185" i="1" s="1"/>
  <c r="G185" i="1" s="1"/>
  <c r="C186" i="1" s="1"/>
  <c r="G186" i="1" s="1"/>
  <c r="C187" i="1" s="1"/>
  <c r="G187" i="1" s="1"/>
  <c r="C188" i="1" s="1"/>
  <c r="G188" i="1" s="1"/>
  <c r="C189" i="1" s="1"/>
  <c r="G189" i="1" s="1"/>
  <c r="C190" i="1" s="1"/>
  <c r="F190" i="1"/>
</calcChain>
</file>

<file path=xl/sharedStrings.xml><?xml version="1.0" encoding="utf-8"?>
<sst xmlns="http://schemas.openxmlformats.org/spreadsheetml/2006/main" count="30" uniqueCount="30">
  <si>
    <t>Input Area:</t>
  </si>
  <si>
    <t>Basic Output Area:</t>
  </si>
  <si>
    <t>Payment</t>
  </si>
  <si>
    <t>Loan</t>
  </si>
  <si>
    <t>Loan is based on the payment and info in Input Area</t>
  </si>
  <si>
    <t>APR</t>
  </si>
  <si>
    <t>Periodic Rate</t>
  </si>
  <si>
    <t>Monthly Rate</t>
  </si>
  <si>
    <t>Years</t>
  </si>
  <si>
    <t># of Payments</t>
  </si>
  <si>
    <t>No. of years x the number of payments per year</t>
  </si>
  <si>
    <t>Pmts per Year</t>
  </si>
  <si>
    <t>Payment Number</t>
  </si>
  <si>
    <t>Date</t>
  </si>
  <si>
    <t>Beginning Balance</t>
  </si>
  <si>
    <t>Monthly Payment</t>
  </si>
  <si>
    <t>Interest Paid</t>
  </si>
  <si>
    <t>Principal Repayment</t>
  </si>
  <si>
    <t>Ending Balance</t>
  </si>
  <si>
    <t>Status</t>
  </si>
  <si>
    <t>Cumulative Interest</t>
  </si>
  <si>
    <t>Cumulative Principal</t>
  </si>
  <si>
    <t>year</t>
  </si>
  <si>
    <t>Cumulative adds from payment 1 to the current payment</t>
  </si>
  <si>
    <r>
      <t>Be consistent……show the values are postive</t>
    </r>
    <r>
      <rPr>
        <b/>
        <u/>
        <sz val="11"/>
        <color theme="1"/>
        <rFont val="Aptos Narrow"/>
        <family val="2"/>
        <scheme val="minor"/>
      </rPr>
      <t xml:space="preserve"> OR</t>
    </r>
    <r>
      <rPr>
        <sz val="11"/>
        <color theme="1"/>
        <rFont val="Aptos Narrow"/>
        <family val="2"/>
        <scheme val="minor"/>
      </rPr>
      <t xml:space="preserve"> negative</t>
    </r>
  </si>
  <si>
    <t>will always equal monthly payment (from the first to the last)</t>
  </si>
  <si>
    <t>f</t>
  </si>
  <si>
    <t>Totals</t>
  </si>
  <si>
    <t>If the balance is anything but 0 something is wrong</t>
  </si>
  <si>
    <t>Will always = Total monthly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</si>
</sst>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00%"/>
    <numFmt numFmtId="166" formatCode="_(* #,##0_);_(* \(#,##0\);_(* &quot;-&quot;??_);_(@_)"/>
    <numFmt numFmtId="167" formatCode="[$-409]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1" applyNumberFormat="0" applyFill="0" applyAlignment="0" applyProtection="0"/>
  </cellStyleXfs>
  <cellXfs count="33">
    <xf numFmtId="0" fontId="0" fillId="0" borderId="0" xfId="0"/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center"/>
    </xf>
    <xf numFmtId="0" fontId="1" fillId="0" borderId="0" xfId="1"/>
    <xf numFmtId="0" fontId="2" fillId="0" borderId="0" xfId="1" applyFont="1"/>
    <xf numFmtId="0" fontId="3" fillId="0" borderId="4" xfId="1" applyFont="1" applyBorder="1"/>
    <xf numFmtId="44" fontId="0" fillId="0" borderId="5" xfId="2" applyFont="1" applyBorder="1"/>
    <xf numFmtId="164" fontId="0" fillId="3" borderId="5" xfId="3" applyFont="1" applyFill="1" applyBorder="1"/>
    <xf numFmtId="8" fontId="0" fillId="0" borderId="0" xfId="2" applyNumberFormat="1" applyFont="1" applyAlignment="1">
      <alignment horizontal="left"/>
    </xf>
    <xf numFmtId="10" fontId="1" fillId="0" borderId="5" xfId="1" applyNumberFormat="1" applyBorder="1"/>
    <xf numFmtId="165" fontId="0" fillId="0" borderId="5" xfId="4" applyNumberFormat="1" applyFont="1" applyBorder="1"/>
    <xf numFmtId="165" fontId="0" fillId="0" borderId="0" xfId="4" applyNumberFormat="1" applyFont="1" applyAlignment="1">
      <alignment horizontal="left"/>
    </xf>
    <xf numFmtId="166" fontId="0" fillId="0" borderId="5" xfId="5" applyNumberFormat="1" applyFont="1" applyBorder="1"/>
    <xf numFmtId="0" fontId="3" fillId="0" borderId="6" xfId="1" applyFont="1" applyBorder="1"/>
    <xf numFmtId="166" fontId="0" fillId="0" borderId="7" xfId="5" applyNumberFormat="1" applyFont="1" applyBorder="1"/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167" fontId="0" fillId="0" borderId="0" xfId="0" applyNumberFormat="1" applyAlignment="1">
      <alignment horizontal="center"/>
    </xf>
    <xf numFmtId="44" fontId="0" fillId="0" borderId="0" xfId="2" applyFont="1"/>
    <xf numFmtId="44" fontId="0" fillId="4" borderId="0" xfId="2" applyFont="1" applyFill="1"/>
    <xf numFmtId="44" fontId="0" fillId="0" borderId="0" xfId="2" quotePrefix="1" applyFont="1"/>
    <xf numFmtId="0" fontId="0" fillId="0" borderId="0" xfId="1" applyFont="1"/>
    <xf numFmtId="0" fontId="3" fillId="4" borderId="0" xfId="1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0" fontId="1" fillId="4" borderId="0" xfId="1" applyFill="1"/>
    <xf numFmtId="44" fontId="0" fillId="4" borderId="0" xfId="2" quotePrefix="1" applyFont="1" applyFill="1"/>
    <xf numFmtId="44" fontId="0" fillId="0" borderId="0" xfId="2" applyFont="1" applyFill="1"/>
    <xf numFmtId="0" fontId="6" fillId="0" borderId="1" xfId="6" applyAlignment="1">
      <alignment horizontal="center"/>
    </xf>
    <xf numFmtId="44" fontId="6" fillId="5" borderId="1" xfId="6" applyNumberFormat="1" applyFill="1"/>
    <xf numFmtId="44" fontId="6" fillId="3" borderId="1" xfId="6" applyNumberFormat="1" applyFill="1"/>
  </cellXfs>
  <cellStyles count="7">
    <cellStyle name="Comma 2" xfId="5" xr:uid="{8A83E993-2CAE-4625-8D05-AB650A8719C8}"/>
    <cellStyle name="Currency 2" xfId="2" xr:uid="{39C78E34-8992-4CA1-B9C7-1175EA58A8C3}"/>
    <cellStyle name="Currency 3" xfId="3" xr:uid="{7389B952-444D-4350-9B4D-316B5587FF3E}"/>
    <cellStyle name="Normal" xfId="0" builtinId="0"/>
    <cellStyle name="Normal 2 2" xfId="1" xr:uid="{602C55EA-6C39-4E3D-886F-5BFF4082D508}"/>
    <cellStyle name="Percent 2" xfId="4" xr:uid="{6B08CCE6-BCB1-4C63-843E-99BA56F0E324}"/>
    <cellStyle name="Total 2" xfId="6" xr:uid="{C55E4E0E-1014-4E32-83A2-7C1215ED3B0B}"/>
  </cellStyles>
  <dxfs count="1">
    <dxf>
      <font>
        <color theme="1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190</xdr:row>
      <xdr:rowOff>28575</xdr:rowOff>
    </xdr:from>
    <xdr:to>
      <xdr:col>3</xdr:col>
      <xdr:colOff>9525</xdr:colOff>
      <xdr:row>194</xdr:row>
      <xdr:rowOff>38100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B7DE87A-3ACB-4C43-A539-A35F6763915E}"/>
            </a:ext>
          </a:extLst>
        </xdr:cNvPr>
        <xdr:cNvCxnSpPr/>
      </xdr:nvCxnSpPr>
      <xdr:spPr>
        <a:xfrm flipH="1" flipV="1">
          <a:off x="3463925" y="35252025"/>
          <a:ext cx="71120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904875</xdr:colOff>
      <xdr:row>191</xdr:row>
      <xdr:rowOff>47625</xdr:rowOff>
    </xdr:from>
    <xdr:to>
      <xdr:col>3</xdr:col>
      <xdr:colOff>914400</xdr:colOff>
      <xdr:row>194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1864052-819F-4C01-90BC-E7CC443E8F0F}"/>
            </a:ext>
          </a:extLst>
        </xdr:cNvPr>
        <xdr:cNvCxnSpPr/>
      </xdr:nvCxnSpPr>
      <xdr:spPr>
        <a:xfrm>
          <a:off x="5070475" y="35461575"/>
          <a:ext cx="9525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1702189</xdr:colOff>
      <xdr:row>187</xdr:row>
      <xdr:rowOff>140354</xdr:rowOff>
    </xdr:from>
    <xdr:to>
      <xdr:col>7</xdr:col>
      <xdr:colOff>832590</xdr:colOff>
      <xdr:row>194</xdr:row>
      <xdr:rowOff>49115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337E8A7-5F3B-45C6-98E9-C518A5DD6052}"/>
            </a:ext>
          </a:extLst>
        </xdr:cNvPr>
        <xdr:cNvCxnSpPr>
          <a:cxnSpLocks/>
        </xdr:cNvCxnSpPr>
      </xdr:nvCxnSpPr>
      <xdr:spPr>
        <a:xfrm flipH="1">
          <a:off x="7264789" y="34785954"/>
          <a:ext cx="3448401" cy="12295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676145</xdr:colOff>
      <xdr:row>190</xdr:row>
      <xdr:rowOff>108599</xdr:rowOff>
    </xdr:from>
    <xdr:to>
      <xdr:col>10</xdr:col>
      <xdr:colOff>182724</xdr:colOff>
      <xdr:row>195</xdr:row>
      <xdr:rowOff>8359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010F62D-53E2-435C-B7DB-2B0571A4FE73}"/>
            </a:ext>
          </a:extLst>
        </xdr:cNvPr>
        <xdr:cNvCxnSpPr/>
      </xdr:nvCxnSpPr>
      <xdr:spPr>
        <a:xfrm flipH="1" flipV="1">
          <a:off x="9762995" y="35332049"/>
          <a:ext cx="3805529" cy="8268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757658</xdr:colOff>
      <xdr:row>6</xdr:row>
      <xdr:rowOff>62463</xdr:rowOff>
    </xdr:from>
    <xdr:to>
      <xdr:col>9</xdr:col>
      <xdr:colOff>253417</xdr:colOff>
      <xdr:row>6</xdr:row>
      <xdr:rowOff>393246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E74D5C2-7E8D-47D4-BD0C-A2A349CDEC90}"/>
            </a:ext>
          </a:extLst>
        </xdr:cNvPr>
        <xdr:cNvSpPr/>
      </xdr:nvSpPr>
      <xdr:spPr>
        <a:xfrm>
          <a:off x="10638258" y="1186413"/>
          <a:ext cx="1984959" cy="311733"/>
        </a:xfrm>
        <a:prstGeom prst="ellipse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272986</xdr:colOff>
      <xdr:row>6</xdr:row>
      <xdr:rowOff>68554</xdr:rowOff>
    </xdr:from>
    <xdr:to>
      <xdr:col>11</xdr:col>
      <xdr:colOff>290221</xdr:colOff>
      <xdr:row>6</xdr:row>
      <xdr:rowOff>97129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E916551-783A-4C9C-B40A-7DA3F7729F31}"/>
            </a:ext>
          </a:extLst>
        </xdr:cNvPr>
        <xdr:cNvCxnSpPr/>
      </xdr:nvCxnSpPr>
      <xdr:spPr>
        <a:xfrm>
          <a:off x="12642786" y="1192504"/>
          <a:ext cx="204923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47625</xdr:colOff>
      <xdr:row>6</xdr:row>
      <xdr:rowOff>200025</xdr:rowOff>
    </xdr:from>
    <xdr:to>
      <xdr:col>19</xdr:col>
      <xdr:colOff>868362</xdr:colOff>
      <xdr:row>7</xdr:row>
      <xdr:rowOff>161880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78ABA1-461F-4BFA-ABE2-80BDC4DFE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45425" y="1323975"/>
          <a:ext cx="2852737" cy="33650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9</xdr:row>
      <xdr:rowOff>76200</xdr:rowOff>
    </xdr:from>
    <xdr:to>
      <xdr:col>19</xdr:col>
      <xdr:colOff>820753</xdr:colOff>
      <xdr:row>11</xdr:row>
      <xdr:rowOff>2944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CE29F0-9E4C-4BF2-8017-869DA807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21625" y="1943100"/>
          <a:ext cx="2728928" cy="295044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11</xdr:row>
      <xdr:rowOff>76200</xdr:rowOff>
    </xdr:from>
    <xdr:to>
      <xdr:col>19</xdr:col>
      <xdr:colOff>72280</xdr:colOff>
      <xdr:row>12</xdr:row>
      <xdr:rowOff>155834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325455-A8AC-429C-BA85-01F1CF2A6E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223" b="-1"/>
        <a:stretch/>
      </xdr:blipFill>
      <xdr:spPr>
        <a:xfrm>
          <a:off x="21647150" y="2311400"/>
          <a:ext cx="954930" cy="263784"/>
        </a:xfrm>
        <a:prstGeom prst="rect">
          <a:avLst/>
        </a:prstGeom>
      </xdr:spPr>
    </xdr:pic>
    <xdr:clientData/>
  </xdr:twoCellAnchor>
  <xdr:twoCellAnchor>
    <xdr:from>
      <xdr:col>17</xdr:col>
      <xdr:colOff>9526</xdr:colOff>
      <xdr:row>6</xdr:row>
      <xdr:rowOff>266699</xdr:rowOff>
    </xdr:from>
    <xdr:to>
      <xdr:col>17</xdr:col>
      <xdr:colOff>504826</xdr:colOff>
      <xdr:row>7</xdr:row>
      <xdr:rowOff>133349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810EB28-4CF3-44DD-9881-430B37A2D943}"/>
            </a:ext>
          </a:extLst>
        </xdr:cNvPr>
        <xdr:cNvSpPr/>
      </xdr:nvSpPr>
      <xdr:spPr>
        <a:xfrm>
          <a:off x="20507326" y="1390649"/>
          <a:ext cx="495300" cy="241300"/>
        </a:xfrm>
        <a:prstGeom prst="ellipse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9</xdr:row>
      <xdr:rowOff>133350</xdr:rowOff>
    </xdr:from>
    <xdr:to>
      <xdr:col>17</xdr:col>
      <xdr:colOff>495300</xdr:colOff>
      <xdr:row>10</xdr:row>
      <xdr:rowOff>171450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4C74BBC-382A-4B2F-B87F-7A638C13AA57}"/>
            </a:ext>
          </a:extLst>
        </xdr:cNvPr>
        <xdr:cNvSpPr/>
      </xdr:nvSpPr>
      <xdr:spPr>
        <a:xfrm>
          <a:off x="20497800" y="2000250"/>
          <a:ext cx="495300" cy="222250"/>
        </a:xfrm>
        <a:prstGeom prst="ellipse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18</xdr:col>
      <xdr:colOff>66675</xdr:colOff>
      <xdr:row>7</xdr:row>
      <xdr:rowOff>171450</xdr:rowOff>
    </xdr:from>
    <xdr:to>
      <xdr:col>19</xdr:col>
      <xdr:colOff>53225</xdr:colOff>
      <xdr:row>9</xdr:row>
      <xdr:rowOff>63986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712FCF-9913-4B85-9CB2-05437BDC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80475" y="1670050"/>
          <a:ext cx="1002550" cy="260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9FC9-D197-434F-B049-C914AE05FB88}">
  <sheetPr>
    <tabColor theme="4"/>
    <pageSetUpPr fitToPage="1"/>
  </sheetPr>
  <dimension ref="A1:S195"/>
  <sheetViews>
    <sheetView tabSelected="1" topLeftCell="B1" zoomScale="94" zoomScaleNormal="98" workbookViewId="0">
      <pane ySplit="7" topLeftCell="A10" activePane="bottomLeft" state="frozen"/>
      <selection pane="bottomLeft" activeCell="E19" sqref="E19"/>
    </sheetView>
  </sheetViews>
  <sheetFormatPr defaultColWidth="14.54296875" defaultRowHeight="14.5" x14ac:dyDescent="0.35"/>
  <cols>
    <col min="1" max="1" width="18.90625" style="3" customWidth="1"/>
    <col min="2" max="2" width="22.6328125" style="3" customWidth="1"/>
    <col min="3" max="3" width="18.08984375" style="3" customWidth="1"/>
    <col min="4" max="4" width="20" style="3" customWidth="1"/>
    <col min="5" max="5" width="25.81640625" style="3" customWidth="1"/>
    <col min="6" max="6" width="24.6328125" style="3" customWidth="1"/>
    <col min="7" max="7" width="11.36328125" style="3" bestFit="1" customWidth="1"/>
    <col min="8" max="9" width="17.81640625" style="3" customWidth="1"/>
    <col min="10" max="16384" width="14.54296875" style="3"/>
  </cols>
  <sheetData>
    <row r="1" spans="1:19" x14ac:dyDescent="0.35">
      <c r="A1" s="1" t="s">
        <v>0</v>
      </c>
      <c r="B1" s="2"/>
      <c r="D1" s="1" t="s">
        <v>1</v>
      </c>
      <c r="E1" s="2"/>
      <c r="F1" s="4"/>
    </row>
    <row r="2" spans="1:19" x14ac:dyDescent="0.35">
      <c r="A2" s="5" t="s">
        <v>2</v>
      </c>
      <c r="B2" s="6">
        <v>289.44</v>
      </c>
      <c r="D2" s="5" t="s">
        <v>3</v>
      </c>
      <c r="E2" s="7">
        <f>PV(E3,E4,-B2)</f>
        <v>41749.72351965135</v>
      </c>
      <c r="F2" s="8" t="s">
        <v>4</v>
      </c>
    </row>
    <row r="3" spans="1:19" x14ac:dyDescent="0.35">
      <c r="A3" s="5" t="s">
        <v>5</v>
      </c>
      <c r="B3" s="9">
        <v>6.8900000000000003E-2</v>
      </c>
      <c r="D3" s="5" t="s">
        <v>6</v>
      </c>
      <c r="E3" s="10">
        <f>B3/B5</f>
        <v>2.65E-3</v>
      </c>
      <c r="F3" s="11" t="s">
        <v>7</v>
      </c>
    </row>
    <row r="4" spans="1:19" ht="15" thickBot="1" x14ac:dyDescent="0.4">
      <c r="A4" s="5" t="s">
        <v>8</v>
      </c>
      <c r="B4" s="12">
        <v>7</v>
      </c>
      <c r="D4" s="13" t="s">
        <v>9</v>
      </c>
      <c r="E4" s="14">
        <f>B4*B5</f>
        <v>182</v>
      </c>
      <c r="F4" s="8" t="s">
        <v>10</v>
      </c>
    </row>
    <row r="5" spans="1:19" ht="15" thickBot="1" x14ac:dyDescent="0.4">
      <c r="A5" s="13" t="s">
        <v>11</v>
      </c>
      <c r="B5" s="14">
        <v>26</v>
      </c>
    </row>
    <row r="6" spans="1:19" ht="15" thickBot="1" x14ac:dyDescent="0.4"/>
    <row r="7" spans="1:19" ht="29.5" thickBot="1" x14ac:dyDescent="0.4">
      <c r="A7" s="15" t="s">
        <v>12</v>
      </c>
      <c r="B7" s="16" t="s">
        <v>13</v>
      </c>
      <c r="C7" s="16" t="s">
        <v>14</v>
      </c>
      <c r="D7" s="16" t="s">
        <v>15</v>
      </c>
      <c r="E7" s="16" t="s">
        <v>16</v>
      </c>
      <c r="F7" s="16" t="s">
        <v>17</v>
      </c>
      <c r="G7" s="17" t="s">
        <v>18</v>
      </c>
      <c r="H7" s="17" t="s">
        <v>19</v>
      </c>
      <c r="I7" s="15" t="s">
        <v>20</v>
      </c>
      <c r="J7" s="17" t="s">
        <v>21</v>
      </c>
      <c r="K7" s="3" t="s">
        <v>22</v>
      </c>
      <c r="L7" s="18" t="s">
        <v>23</v>
      </c>
    </row>
    <row r="8" spans="1:19" x14ac:dyDescent="0.35">
      <c r="A8" s="19">
        <v>1</v>
      </c>
      <c r="B8" s="20">
        <v>45756</v>
      </c>
      <c r="C8" s="21">
        <f>E2</f>
        <v>41749.72351965135</v>
      </c>
      <c r="D8" s="29">
        <f t="shared" ref="D8:D71" si="0">B$2</f>
        <v>289.44</v>
      </c>
      <c r="E8" s="21">
        <f t="shared" ref="E8:E71" si="1">-IPMT(E$3,A8,E$4,E$2)</f>
        <v>110.63676732707607</v>
      </c>
      <c r="F8" s="21">
        <f t="shared" ref="F8:F71" si="2">-PPMT(E$3,A8,E$4,E$2)</f>
        <v>178.80323267292638</v>
      </c>
      <c r="G8" s="21">
        <f t="shared" ref="G8:G71" si="3">C8-F8</f>
        <v>41570.92028697842</v>
      </c>
      <c r="I8" s="23">
        <f t="shared" ref="I8:I71" si="4">-CUMIPMT(E$3,E$4,E$2,A$8,A8,0)</f>
        <v>110.63676732707606</v>
      </c>
      <c r="J8" s="23">
        <f t="shared" ref="J8:J71" si="5">-CUMPRINC(E$3,E$4,E$2,A$8,A8,0)</f>
        <v>178.80323267292638</v>
      </c>
    </row>
    <row r="9" spans="1:19" x14ac:dyDescent="0.35">
      <c r="A9" s="19">
        <v>2</v>
      </c>
      <c r="B9" s="20">
        <v>45770</v>
      </c>
      <c r="C9" s="21">
        <f t="shared" ref="C9:C72" si="6">G8</f>
        <v>41570.92028697842</v>
      </c>
      <c r="D9" s="29">
        <f t="shared" si="0"/>
        <v>289.44</v>
      </c>
      <c r="E9" s="21">
        <f t="shared" si="1"/>
        <v>110.16293876049282</v>
      </c>
      <c r="F9" s="21">
        <f t="shared" si="2"/>
        <v>179.27706123950966</v>
      </c>
      <c r="G9" s="21">
        <f t="shared" si="3"/>
        <v>41391.64322573891</v>
      </c>
      <c r="I9" s="23">
        <f t="shared" si="4"/>
        <v>220.79970608756884</v>
      </c>
      <c r="J9" s="23">
        <f t="shared" si="5"/>
        <v>358.08029391243605</v>
      </c>
      <c r="L9" s="24" t="s">
        <v>24</v>
      </c>
    </row>
    <row r="10" spans="1:19" x14ac:dyDescent="0.35">
      <c r="A10" s="19">
        <v>3</v>
      </c>
      <c r="B10" s="20">
        <v>45784</v>
      </c>
      <c r="C10" s="21">
        <f t="shared" si="6"/>
        <v>41391.64322573891</v>
      </c>
      <c r="D10" s="29">
        <f t="shared" si="0"/>
        <v>289.44</v>
      </c>
      <c r="E10" s="21">
        <f t="shared" si="1"/>
        <v>109.68785454820811</v>
      </c>
      <c r="F10" s="21">
        <f t="shared" si="2"/>
        <v>179.75214545179435</v>
      </c>
      <c r="G10" s="21">
        <f t="shared" si="3"/>
        <v>41211.891080287118</v>
      </c>
      <c r="I10" s="23">
        <f t="shared" si="4"/>
        <v>330.48756063577684</v>
      </c>
      <c r="J10" s="23">
        <f t="shared" si="5"/>
        <v>537.83243936423048</v>
      </c>
    </row>
    <row r="11" spans="1:19" x14ac:dyDescent="0.35">
      <c r="A11" s="19">
        <v>4</v>
      </c>
      <c r="B11" s="20">
        <v>45798</v>
      </c>
      <c r="C11" s="21">
        <f t="shared" si="6"/>
        <v>41211.891080287118</v>
      </c>
      <c r="D11" s="29">
        <f t="shared" si="0"/>
        <v>289.44</v>
      </c>
      <c r="E11" s="21">
        <f t="shared" si="1"/>
        <v>109.21151136276086</v>
      </c>
      <c r="F11" s="21">
        <f t="shared" si="2"/>
        <v>180.22848863724158</v>
      </c>
      <c r="G11" s="21">
        <f t="shared" si="3"/>
        <v>41031.662591649874</v>
      </c>
      <c r="I11" s="23">
        <f t="shared" si="4"/>
        <v>439.69907199853787</v>
      </c>
      <c r="J11" s="23">
        <f t="shared" si="5"/>
        <v>718.06092800147189</v>
      </c>
    </row>
    <row r="12" spans="1:19" x14ac:dyDescent="0.35">
      <c r="A12" s="19">
        <v>5</v>
      </c>
      <c r="B12" s="20">
        <v>45812</v>
      </c>
      <c r="C12" s="21">
        <f t="shared" si="6"/>
        <v>41031.662591649874</v>
      </c>
      <c r="D12" s="29">
        <f t="shared" si="0"/>
        <v>289.44</v>
      </c>
      <c r="E12" s="21">
        <f t="shared" si="1"/>
        <v>108.73390586787218</v>
      </c>
      <c r="F12" s="21">
        <f t="shared" si="2"/>
        <v>180.70609413213029</v>
      </c>
      <c r="G12" s="21">
        <f t="shared" si="3"/>
        <v>40850.956497517742</v>
      </c>
      <c r="I12" s="23">
        <f t="shared" si="4"/>
        <v>548.43297786640983</v>
      </c>
      <c r="J12" s="23">
        <f t="shared" si="5"/>
        <v>898.76702213360227</v>
      </c>
      <c r="S12" s="23"/>
    </row>
    <row r="13" spans="1:19" x14ac:dyDescent="0.35">
      <c r="A13" s="19">
        <v>6</v>
      </c>
      <c r="B13" s="20">
        <v>45826</v>
      </c>
      <c r="C13" s="21">
        <f t="shared" si="6"/>
        <v>40850.956497517742</v>
      </c>
      <c r="D13" s="29">
        <f t="shared" si="0"/>
        <v>289.44</v>
      </c>
      <c r="E13" s="21">
        <f t="shared" si="1"/>
        <v>108.25503471842204</v>
      </c>
      <c r="F13" s="21">
        <f t="shared" si="2"/>
        <v>181.18496528158042</v>
      </c>
      <c r="G13" s="21">
        <f t="shared" si="3"/>
        <v>40669.771532236162</v>
      </c>
      <c r="I13" s="23">
        <f t="shared" si="4"/>
        <v>656.68801258483199</v>
      </c>
      <c r="J13" s="23">
        <f t="shared" si="5"/>
        <v>1079.9519874151827</v>
      </c>
    </row>
    <row r="14" spans="1:19" x14ac:dyDescent="0.35">
      <c r="A14" s="19">
        <v>7</v>
      </c>
      <c r="B14" s="20">
        <v>45840</v>
      </c>
      <c r="C14" s="21">
        <f t="shared" si="6"/>
        <v>40669.771532236162</v>
      </c>
      <c r="D14" s="29">
        <f t="shared" si="0"/>
        <v>289.44</v>
      </c>
      <c r="E14" s="21">
        <f t="shared" si="1"/>
        <v>107.77489456042585</v>
      </c>
      <c r="F14" s="21">
        <f t="shared" si="2"/>
        <v>181.66510543957659</v>
      </c>
      <c r="G14" s="21">
        <f t="shared" si="3"/>
        <v>40488.106426796585</v>
      </c>
      <c r="I14" s="23">
        <f t="shared" si="4"/>
        <v>764.46290714525799</v>
      </c>
      <c r="J14" s="23">
        <f t="shared" si="5"/>
        <v>1261.6170928547592</v>
      </c>
      <c r="M14" s="24" t="s">
        <v>25</v>
      </c>
    </row>
    <row r="15" spans="1:19" x14ac:dyDescent="0.35">
      <c r="A15" s="19">
        <v>8</v>
      </c>
      <c r="B15" s="20">
        <v>45854</v>
      </c>
      <c r="C15" s="21">
        <f t="shared" si="6"/>
        <v>40488.106426796585</v>
      </c>
      <c r="D15" s="29">
        <f t="shared" si="0"/>
        <v>289.44</v>
      </c>
      <c r="E15" s="21">
        <f t="shared" si="1"/>
        <v>107.29348203101097</v>
      </c>
      <c r="F15" s="21">
        <f t="shared" si="2"/>
        <v>182.14651796899147</v>
      </c>
      <c r="G15" s="21">
        <f t="shared" si="3"/>
        <v>40305.959908827594</v>
      </c>
      <c r="I15" s="23">
        <f t="shared" si="4"/>
        <v>871.75638917626884</v>
      </c>
      <c r="J15" s="23">
        <f t="shared" si="5"/>
        <v>1443.7636108237507</v>
      </c>
    </row>
    <row r="16" spans="1:19" x14ac:dyDescent="0.35">
      <c r="A16" s="19">
        <v>9</v>
      </c>
      <c r="B16" s="20">
        <v>45868</v>
      </c>
      <c r="C16" s="21">
        <f t="shared" si="6"/>
        <v>40305.959908827594</v>
      </c>
      <c r="D16" s="29">
        <f t="shared" si="0"/>
        <v>289.44</v>
      </c>
      <c r="E16" s="21">
        <f t="shared" si="1"/>
        <v>106.81079375839315</v>
      </c>
      <c r="F16" s="21">
        <f t="shared" si="2"/>
        <v>182.62920624160932</v>
      </c>
      <c r="G16" s="21">
        <f t="shared" si="3"/>
        <v>40123.330702585983</v>
      </c>
      <c r="I16" s="23">
        <f t="shared" si="4"/>
        <v>978.56718293466179</v>
      </c>
      <c r="J16" s="23">
        <f t="shared" si="5"/>
        <v>1626.3928170653601</v>
      </c>
    </row>
    <row r="17" spans="1:10" x14ac:dyDescent="0.35">
      <c r="A17" s="19">
        <v>10</v>
      </c>
      <c r="B17" s="20">
        <v>45882</v>
      </c>
      <c r="C17" s="21">
        <f t="shared" si="6"/>
        <v>40123.330702585983</v>
      </c>
      <c r="D17" s="21">
        <f t="shared" si="0"/>
        <v>289.44</v>
      </c>
      <c r="E17" s="21">
        <f t="shared" si="1"/>
        <v>106.32682636185288</v>
      </c>
      <c r="F17" s="21">
        <f t="shared" si="2"/>
        <v>183.11317363814962</v>
      </c>
      <c r="G17" s="21">
        <f t="shared" si="3"/>
        <v>39940.217528947833</v>
      </c>
      <c r="I17" s="23">
        <f t="shared" si="4"/>
        <v>1084.8940092965142</v>
      </c>
      <c r="J17" s="23">
        <f t="shared" si="5"/>
        <v>1809.50599070351</v>
      </c>
    </row>
    <row r="18" spans="1:10" x14ac:dyDescent="0.35">
      <c r="A18" s="19">
        <v>11</v>
      </c>
      <c r="B18" s="20">
        <v>45896</v>
      </c>
      <c r="C18" s="21">
        <f t="shared" si="6"/>
        <v>39940.217528947833</v>
      </c>
      <c r="D18" s="21">
        <f t="shared" si="0"/>
        <v>289.44</v>
      </c>
      <c r="E18" s="21">
        <f t="shared" si="1"/>
        <v>105.84157645171177</v>
      </c>
      <c r="F18" s="21">
        <f t="shared" si="2"/>
        <v>183.5984235482907</v>
      </c>
      <c r="G18" s="21">
        <f t="shared" si="3"/>
        <v>39756.619105399543</v>
      </c>
      <c r="I18" s="23">
        <f t="shared" si="4"/>
        <v>1190.7355857482262</v>
      </c>
      <c r="J18" s="23">
        <f t="shared" si="5"/>
        <v>1993.1044142518008</v>
      </c>
    </row>
    <row r="19" spans="1:10" x14ac:dyDescent="0.35">
      <c r="A19" s="19">
        <v>12</v>
      </c>
      <c r="B19" s="20">
        <v>45910</v>
      </c>
      <c r="C19" s="21">
        <f t="shared" si="6"/>
        <v>39756.619105399543</v>
      </c>
      <c r="D19" s="21">
        <f t="shared" si="0"/>
        <v>289.44</v>
      </c>
      <c r="E19" s="21">
        <f t="shared" si="1"/>
        <v>105.35504062930879</v>
      </c>
      <c r="F19" s="21">
        <f t="shared" si="2"/>
        <v>184.08495937069367</v>
      </c>
      <c r="G19" s="21">
        <f t="shared" si="3"/>
        <v>39572.534146028847</v>
      </c>
      <c r="I19" s="23">
        <f t="shared" si="4"/>
        <v>1296.0906263775346</v>
      </c>
      <c r="J19" s="23">
        <f t="shared" si="5"/>
        <v>2177.1893736224947</v>
      </c>
    </row>
    <row r="20" spans="1:10" x14ac:dyDescent="0.35">
      <c r="A20" s="19">
        <v>13</v>
      </c>
      <c r="B20" s="20">
        <v>45924</v>
      </c>
      <c r="C20" s="21">
        <f t="shared" si="6"/>
        <v>39572.534146028847</v>
      </c>
      <c r="D20" s="21">
        <f t="shared" si="0"/>
        <v>289.44</v>
      </c>
      <c r="E20" s="21">
        <f t="shared" si="1"/>
        <v>104.86721548697649</v>
      </c>
      <c r="F20" s="21">
        <f t="shared" si="2"/>
        <v>184.57278451302602</v>
      </c>
      <c r="G20" s="21">
        <f t="shared" si="3"/>
        <v>39387.961361515823</v>
      </c>
      <c r="I20" s="23">
        <f t="shared" si="4"/>
        <v>1400.9578418645115</v>
      </c>
      <c r="J20" s="23">
        <f t="shared" si="5"/>
        <v>2361.7621581355202</v>
      </c>
    </row>
    <row r="21" spans="1:10" x14ac:dyDescent="0.35">
      <c r="A21" s="19">
        <v>14</v>
      </c>
      <c r="B21" s="20">
        <v>45938</v>
      </c>
      <c r="C21" s="21">
        <f t="shared" si="6"/>
        <v>39387.961361515823</v>
      </c>
      <c r="D21" s="21">
        <f t="shared" si="0"/>
        <v>289.44</v>
      </c>
      <c r="E21" s="21">
        <f t="shared" si="1"/>
        <v>104.37809760801693</v>
      </c>
      <c r="F21" s="21">
        <f t="shared" si="2"/>
        <v>185.06190239198551</v>
      </c>
      <c r="G21" s="21">
        <f t="shared" si="3"/>
        <v>39202.899459123837</v>
      </c>
      <c r="I21" s="23">
        <f t="shared" si="4"/>
        <v>1505.3359394725285</v>
      </c>
      <c r="J21" s="23">
        <f t="shared" si="5"/>
        <v>2546.8240605275059</v>
      </c>
    </row>
    <row r="22" spans="1:10" x14ac:dyDescent="0.35">
      <c r="A22" s="19">
        <v>15</v>
      </c>
      <c r="B22" s="20">
        <v>45952</v>
      </c>
      <c r="C22" s="21">
        <f t="shared" si="6"/>
        <v>39202.899459123837</v>
      </c>
      <c r="D22" s="21">
        <f t="shared" si="0"/>
        <v>289.44</v>
      </c>
      <c r="E22" s="21">
        <f t="shared" si="1"/>
        <v>103.88768356667819</v>
      </c>
      <c r="F22" s="21">
        <f t="shared" si="2"/>
        <v>185.55231643332428</v>
      </c>
      <c r="G22" s="21">
        <f t="shared" si="3"/>
        <v>39017.347142690516</v>
      </c>
      <c r="I22" s="23">
        <f t="shared" si="4"/>
        <v>1609.2236230392064</v>
      </c>
      <c r="J22" s="23">
        <f t="shared" si="5"/>
        <v>2732.3763769608304</v>
      </c>
    </row>
    <row r="23" spans="1:10" x14ac:dyDescent="0.35">
      <c r="A23" s="19">
        <v>16</v>
      </c>
      <c r="B23" s="20">
        <v>45966</v>
      </c>
      <c r="C23" s="21">
        <f t="shared" si="6"/>
        <v>39017.347142690516</v>
      </c>
      <c r="D23" s="21">
        <f t="shared" si="0"/>
        <v>289.44</v>
      </c>
      <c r="E23" s="21">
        <f t="shared" si="1"/>
        <v>103.39596992812987</v>
      </c>
      <c r="F23" s="21">
        <f t="shared" si="2"/>
        <v>186.04403007187256</v>
      </c>
      <c r="G23" s="21">
        <f t="shared" si="3"/>
        <v>38831.303112618647</v>
      </c>
      <c r="I23" s="23">
        <f t="shared" si="4"/>
        <v>1712.6195929673368</v>
      </c>
      <c r="J23" s="23">
        <f t="shared" si="5"/>
        <v>2918.4204070327023</v>
      </c>
    </row>
    <row r="24" spans="1:10" x14ac:dyDescent="0.35">
      <c r="A24" s="19">
        <v>17</v>
      </c>
      <c r="B24" s="20">
        <v>45980</v>
      </c>
      <c r="C24" s="21">
        <f t="shared" si="6"/>
        <v>38831.303112618647</v>
      </c>
      <c r="D24" s="21">
        <f t="shared" si="0"/>
        <v>289.44</v>
      </c>
      <c r="E24" s="21">
        <f t="shared" si="1"/>
        <v>102.90295324843942</v>
      </c>
      <c r="F24" s="21">
        <f t="shared" si="2"/>
        <v>186.53704675156308</v>
      </c>
      <c r="G24" s="21">
        <f t="shared" si="3"/>
        <v>38644.766065867087</v>
      </c>
      <c r="I24" s="23">
        <f t="shared" si="4"/>
        <v>1815.5225462157759</v>
      </c>
      <c r="J24" s="23">
        <f t="shared" si="5"/>
        <v>3104.9574537842655</v>
      </c>
    </row>
    <row r="25" spans="1:10" x14ac:dyDescent="0.35">
      <c r="A25" s="19">
        <v>18</v>
      </c>
      <c r="B25" s="20">
        <v>45994</v>
      </c>
      <c r="C25" s="21">
        <f t="shared" si="6"/>
        <v>38644.766065867087</v>
      </c>
      <c r="D25" s="21">
        <f t="shared" si="0"/>
        <v>289.44</v>
      </c>
      <c r="E25" s="21">
        <f t="shared" si="1"/>
        <v>102.40863007454777</v>
      </c>
      <c r="F25" s="21">
        <f t="shared" si="2"/>
        <v>187.03136992545467</v>
      </c>
      <c r="G25" s="21">
        <f t="shared" si="3"/>
        <v>38457.734695941632</v>
      </c>
      <c r="I25" s="23">
        <f t="shared" si="4"/>
        <v>1917.9311762903235</v>
      </c>
      <c r="J25" s="23">
        <f t="shared" si="5"/>
        <v>3291.9888237097202</v>
      </c>
    </row>
    <row r="26" spans="1:10" x14ac:dyDescent="0.35">
      <c r="A26" s="19">
        <v>19</v>
      </c>
      <c r="B26" s="20">
        <v>46008</v>
      </c>
      <c r="C26" s="21">
        <f t="shared" si="6"/>
        <v>38457.734695941632</v>
      </c>
      <c r="D26" s="21">
        <f t="shared" si="0"/>
        <v>289.44</v>
      </c>
      <c r="E26" s="21">
        <f t="shared" si="1"/>
        <v>101.91299694424531</v>
      </c>
      <c r="F26" s="21">
        <f t="shared" si="2"/>
        <v>187.52700305575715</v>
      </c>
      <c r="G26" s="21">
        <f t="shared" si="3"/>
        <v>38270.207692885873</v>
      </c>
      <c r="I26" s="23">
        <f t="shared" si="4"/>
        <v>2019.8441732345686</v>
      </c>
      <c r="J26" s="23">
        <f t="shared" si="5"/>
        <v>3479.5158267654774</v>
      </c>
    </row>
    <row r="27" spans="1:10" x14ac:dyDescent="0.35">
      <c r="A27" s="19">
        <v>20</v>
      </c>
      <c r="B27" s="20">
        <v>46022</v>
      </c>
      <c r="C27" s="21">
        <f t="shared" si="6"/>
        <v>38270.207692885873</v>
      </c>
      <c r="D27" s="21">
        <f t="shared" si="0"/>
        <v>289.44</v>
      </c>
      <c r="E27" s="21">
        <f t="shared" si="1"/>
        <v>101.41605038614755</v>
      </c>
      <c r="F27" s="21">
        <f t="shared" si="2"/>
        <v>188.02394961385491</v>
      </c>
      <c r="G27" s="21">
        <f t="shared" si="3"/>
        <v>38082.18374327202</v>
      </c>
      <c r="I27" s="23">
        <f t="shared" si="4"/>
        <v>2121.2602236207163</v>
      </c>
      <c r="J27" s="23">
        <f t="shared" si="5"/>
        <v>3667.5397763793321</v>
      </c>
    </row>
    <row r="28" spans="1:10" x14ac:dyDescent="0.35">
      <c r="A28" s="19">
        <v>21</v>
      </c>
      <c r="B28" s="20">
        <v>46036</v>
      </c>
      <c r="C28" s="21">
        <f t="shared" si="6"/>
        <v>38082.18374327202</v>
      </c>
      <c r="D28" s="21">
        <f t="shared" si="0"/>
        <v>289.44</v>
      </c>
      <c r="E28" s="21">
        <f t="shared" si="1"/>
        <v>100.91778691967083</v>
      </c>
      <c r="F28" s="21">
        <f t="shared" si="2"/>
        <v>188.52221308033162</v>
      </c>
      <c r="G28" s="21">
        <f t="shared" si="3"/>
        <v>37893.66153019169</v>
      </c>
      <c r="I28" s="23">
        <f t="shared" si="4"/>
        <v>2222.1780105403877</v>
      </c>
      <c r="J28" s="23">
        <f t="shared" si="5"/>
        <v>3856.0619894596639</v>
      </c>
    </row>
    <row r="29" spans="1:10" x14ac:dyDescent="0.35">
      <c r="A29" s="19">
        <v>22</v>
      </c>
      <c r="B29" s="20">
        <v>46050</v>
      </c>
      <c r="C29" s="21">
        <f t="shared" si="6"/>
        <v>37893.66153019169</v>
      </c>
      <c r="D29" s="21">
        <f t="shared" si="0"/>
        <v>289.44</v>
      </c>
      <c r="E29" s="21">
        <f t="shared" si="1"/>
        <v>100.41820305500796</v>
      </c>
      <c r="F29" s="21">
        <f t="shared" si="2"/>
        <v>189.02179694499449</v>
      </c>
      <c r="G29" s="21">
        <f t="shared" si="3"/>
        <v>37704.639733246695</v>
      </c>
      <c r="I29" s="23">
        <f t="shared" si="4"/>
        <v>2322.596213595396</v>
      </c>
      <c r="J29" s="23">
        <f t="shared" si="5"/>
        <v>4045.083786404658</v>
      </c>
    </row>
    <row r="30" spans="1:10" x14ac:dyDescent="0.35">
      <c r="A30" s="19">
        <v>23</v>
      </c>
      <c r="B30" s="20">
        <v>46064</v>
      </c>
      <c r="C30" s="21">
        <f t="shared" si="6"/>
        <v>37704.639733246695</v>
      </c>
      <c r="D30" s="21">
        <f t="shared" si="0"/>
        <v>289.44</v>
      </c>
      <c r="E30" s="21">
        <f t="shared" si="1"/>
        <v>99.917295293103749</v>
      </c>
      <c r="F30" s="21">
        <f t="shared" si="2"/>
        <v>189.52270470689874</v>
      </c>
      <c r="G30" s="21">
        <f t="shared" si="3"/>
        <v>37515.117028539797</v>
      </c>
      <c r="I30" s="23">
        <f t="shared" si="4"/>
        <v>2422.513508888499</v>
      </c>
      <c r="J30" s="23">
        <f t="shared" si="5"/>
        <v>4234.6064911115573</v>
      </c>
    </row>
    <row r="31" spans="1:10" x14ac:dyDescent="0.35">
      <c r="A31" s="19">
        <v>24</v>
      </c>
      <c r="B31" s="20">
        <v>46078</v>
      </c>
      <c r="C31" s="21">
        <f t="shared" si="6"/>
        <v>37515.117028539797</v>
      </c>
      <c r="D31" s="21">
        <f t="shared" si="0"/>
        <v>289.44</v>
      </c>
      <c r="E31" s="21">
        <f t="shared" si="1"/>
        <v>99.415060125630461</v>
      </c>
      <c r="F31" s="21">
        <f t="shared" si="2"/>
        <v>190.024939874372</v>
      </c>
      <c r="G31" s="21">
        <f t="shared" si="3"/>
        <v>37325.092088665428</v>
      </c>
      <c r="I31" s="23">
        <f t="shared" si="4"/>
        <v>2521.9285690141287</v>
      </c>
      <c r="J31" s="23">
        <f t="shared" si="5"/>
        <v>4424.6314309859299</v>
      </c>
    </row>
    <row r="32" spans="1:10" x14ac:dyDescent="0.35">
      <c r="A32" s="19">
        <v>25</v>
      </c>
      <c r="B32" s="20">
        <v>46092</v>
      </c>
      <c r="C32" s="21">
        <f t="shared" si="6"/>
        <v>37325.092088665428</v>
      </c>
      <c r="D32" s="21">
        <f t="shared" si="0"/>
        <v>289.44</v>
      </c>
      <c r="E32" s="21">
        <f t="shared" si="1"/>
        <v>98.911494034963368</v>
      </c>
      <c r="F32" s="21">
        <f t="shared" si="2"/>
        <v>190.5285059650391</v>
      </c>
      <c r="G32" s="21">
        <f t="shared" si="3"/>
        <v>37134.563582700386</v>
      </c>
      <c r="I32" s="23">
        <f t="shared" si="4"/>
        <v>2620.8400630490933</v>
      </c>
      <c r="J32" s="23">
        <f t="shared" si="5"/>
        <v>4615.1599369509677</v>
      </c>
    </row>
    <row r="33" spans="1:11" x14ac:dyDescent="0.35">
      <c r="A33" s="25">
        <v>26</v>
      </c>
      <c r="B33" s="26">
        <v>46106</v>
      </c>
      <c r="C33" s="22">
        <f t="shared" si="6"/>
        <v>37134.563582700386</v>
      </c>
      <c r="D33" s="22">
        <f t="shared" si="0"/>
        <v>289.44</v>
      </c>
      <c r="E33" s="22">
        <f t="shared" si="1"/>
        <v>98.406593494156027</v>
      </c>
      <c r="F33" s="22">
        <f t="shared" si="2"/>
        <v>191.03340650584647</v>
      </c>
      <c r="G33" s="22">
        <f t="shared" si="3"/>
        <v>36943.530176194537</v>
      </c>
      <c r="H33" s="27"/>
      <c r="I33" s="28">
        <f t="shared" si="4"/>
        <v>2719.2466565432487</v>
      </c>
      <c r="J33" s="28">
        <f t="shared" si="5"/>
        <v>4806.1933434568145</v>
      </c>
      <c r="K33" s="3">
        <v>1</v>
      </c>
    </row>
    <row r="34" spans="1:11" x14ac:dyDescent="0.35">
      <c r="A34" s="19">
        <v>27</v>
      </c>
      <c r="B34" s="20">
        <v>46120</v>
      </c>
      <c r="C34" s="21">
        <f t="shared" si="6"/>
        <v>36943.530176194537</v>
      </c>
      <c r="D34" s="21">
        <f t="shared" si="0"/>
        <v>289.44</v>
      </c>
      <c r="E34" s="21">
        <f t="shared" si="1"/>
        <v>97.900354966915529</v>
      </c>
      <c r="F34" s="21">
        <f t="shared" si="2"/>
        <v>191.53964503308691</v>
      </c>
      <c r="G34" s="21">
        <f t="shared" si="3"/>
        <v>36751.990531161449</v>
      </c>
      <c r="I34" s="23">
        <f t="shared" si="4"/>
        <v>2817.1470115101638</v>
      </c>
      <c r="J34" s="23">
        <f t="shared" si="5"/>
        <v>4997.7329884899018</v>
      </c>
    </row>
    <row r="35" spans="1:11" x14ac:dyDescent="0.35">
      <c r="A35" s="19">
        <v>28</v>
      </c>
      <c r="B35" s="20">
        <v>46134</v>
      </c>
      <c r="C35" s="21">
        <f t="shared" si="6"/>
        <v>36751.990531161449</v>
      </c>
      <c r="D35" s="21">
        <f t="shared" si="0"/>
        <v>289.44</v>
      </c>
      <c r="E35" s="21">
        <f t="shared" si="1"/>
        <v>97.392774907577845</v>
      </c>
      <c r="F35" s="21">
        <f t="shared" si="2"/>
        <v>192.04722509242464</v>
      </c>
      <c r="G35" s="21">
        <f t="shared" si="3"/>
        <v>36559.943306069028</v>
      </c>
      <c r="I35" s="23">
        <f t="shared" si="4"/>
        <v>2914.539786417743</v>
      </c>
      <c r="J35" s="23">
        <f t="shared" si="5"/>
        <v>5189.7802135823258</v>
      </c>
    </row>
    <row r="36" spans="1:11" x14ac:dyDescent="0.35">
      <c r="A36" s="19">
        <v>29</v>
      </c>
      <c r="B36" s="20">
        <v>46148</v>
      </c>
      <c r="C36" s="21">
        <f t="shared" si="6"/>
        <v>36559.943306069028</v>
      </c>
      <c r="D36" s="21">
        <f t="shared" si="0"/>
        <v>289.44</v>
      </c>
      <c r="E36" s="21">
        <f t="shared" si="1"/>
        <v>96.883849761082899</v>
      </c>
      <c r="F36" s="21">
        <f t="shared" si="2"/>
        <v>192.55615023891957</v>
      </c>
      <c r="G36" s="21">
        <f t="shared" si="3"/>
        <v>36367.387155830111</v>
      </c>
      <c r="I36" s="23">
        <f t="shared" si="4"/>
        <v>3011.4236361788253</v>
      </c>
      <c r="J36" s="23">
        <f t="shared" si="5"/>
        <v>5382.3363638212459</v>
      </c>
    </row>
    <row r="37" spans="1:11" x14ac:dyDescent="0.35">
      <c r="A37" s="19">
        <v>30</v>
      </c>
      <c r="B37" s="20">
        <v>46162</v>
      </c>
      <c r="C37" s="21">
        <f t="shared" si="6"/>
        <v>36367.387155830111</v>
      </c>
      <c r="D37" s="21">
        <f t="shared" si="0"/>
        <v>289.44</v>
      </c>
      <c r="E37" s="21">
        <f t="shared" si="1"/>
        <v>96.373575962949801</v>
      </c>
      <c r="F37" s="21">
        <f t="shared" si="2"/>
        <v>193.06642403705268</v>
      </c>
      <c r="G37" s="21">
        <f t="shared" si="3"/>
        <v>36174.320731793057</v>
      </c>
      <c r="I37" s="23">
        <f t="shared" si="4"/>
        <v>3107.7972121417752</v>
      </c>
      <c r="J37" s="23">
        <f t="shared" si="5"/>
        <v>5575.4027878582983</v>
      </c>
    </row>
    <row r="38" spans="1:11" x14ac:dyDescent="0.35">
      <c r="A38" s="19">
        <v>31</v>
      </c>
      <c r="B38" s="20">
        <v>46176</v>
      </c>
      <c r="C38" s="21">
        <f t="shared" si="6"/>
        <v>36174.320731793057</v>
      </c>
      <c r="D38" s="21">
        <f t="shared" si="0"/>
        <v>289.44</v>
      </c>
      <c r="E38" s="21">
        <f t="shared" si="1"/>
        <v>95.861949939251588</v>
      </c>
      <c r="F38" s="21">
        <f t="shared" si="2"/>
        <v>193.57805006075088</v>
      </c>
      <c r="G38" s="21">
        <f t="shared" si="3"/>
        <v>35980.742681732307</v>
      </c>
      <c r="I38" s="23">
        <f t="shared" si="4"/>
        <v>3203.6591620810268</v>
      </c>
      <c r="J38" s="23">
        <f t="shared" si="5"/>
        <v>5768.980837919049</v>
      </c>
    </row>
    <row r="39" spans="1:11" x14ac:dyDescent="0.35">
      <c r="A39" s="19">
        <v>32</v>
      </c>
      <c r="B39" s="20">
        <v>46190</v>
      </c>
      <c r="C39" s="21">
        <f t="shared" si="6"/>
        <v>35980.742681732307</v>
      </c>
      <c r="D39" s="21">
        <f t="shared" si="0"/>
        <v>289.44</v>
      </c>
      <c r="E39" s="21">
        <f t="shared" si="1"/>
        <v>95.34896810659059</v>
      </c>
      <c r="F39" s="21">
        <f t="shared" si="2"/>
        <v>194.09103189341187</v>
      </c>
      <c r="G39" s="21">
        <f t="shared" si="3"/>
        <v>35786.651649838896</v>
      </c>
      <c r="I39" s="23">
        <f t="shared" si="4"/>
        <v>3299.0081301876171</v>
      </c>
      <c r="J39" s="23">
        <f t="shared" si="5"/>
        <v>5963.071869812461</v>
      </c>
    </row>
    <row r="40" spans="1:11" x14ac:dyDescent="0.35">
      <c r="A40" s="19">
        <v>33</v>
      </c>
      <c r="B40" s="20">
        <v>46204</v>
      </c>
      <c r="C40" s="21">
        <f t="shared" si="6"/>
        <v>35786.651649838896</v>
      </c>
      <c r="D40" s="21">
        <f t="shared" si="0"/>
        <v>289.44</v>
      </c>
      <c r="E40" s="21">
        <f t="shared" si="1"/>
        <v>94.834626872073073</v>
      </c>
      <c r="F40" s="21">
        <f t="shared" si="2"/>
        <v>194.6053731279294</v>
      </c>
      <c r="G40" s="21">
        <f t="shared" si="3"/>
        <v>35592.046276710964</v>
      </c>
      <c r="I40" s="23">
        <f t="shared" si="4"/>
        <v>3393.8427570596905</v>
      </c>
      <c r="J40" s="23">
        <f t="shared" si="5"/>
        <v>6157.67724294039</v>
      </c>
    </row>
    <row r="41" spans="1:11" x14ac:dyDescent="0.35">
      <c r="A41" s="19">
        <v>34</v>
      </c>
      <c r="B41" s="20">
        <v>46218</v>
      </c>
      <c r="C41" s="21">
        <f t="shared" si="6"/>
        <v>35592.046276710964</v>
      </c>
      <c r="D41" s="21">
        <f t="shared" si="0"/>
        <v>289.44</v>
      </c>
      <c r="E41" s="21">
        <f t="shared" si="1"/>
        <v>94.318922633284032</v>
      </c>
      <c r="F41" s="21">
        <f t="shared" si="2"/>
        <v>195.12107736671842</v>
      </c>
      <c r="G41" s="21">
        <f t="shared" si="3"/>
        <v>35396.925199344245</v>
      </c>
      <c r="I41" s="23">
        <f t="shared" si="4"/>
        <v>3488.1616796929738</v>
      </c>
      <c r="J41" s="23">
        <f t="shared" si="5"/>
        <v>6352.798320307109</v>
      </c>
    </row>
    <row r="42" spans="1:11" x14ac:dyDescent="0.35">
      <c r="A42" s="19">
        <v>35</v>
      </c>
      <c r="B42" s="20">
        <v>46232</v>
      </c>
      <c r="C42" s="21">
        <f t="shared" si="6"/>
        <v>35396.925199344245</v>
      </c>
      <c r="D42" s="21">
        <f t="shared" si="0"/>
        <v>289.44</v>
      </c>
      <c r="E42" s="21">
        <f t="shared" si="1"/>
        <v>93.801851778262233</v>
      </c>
      <c r="F42" s="21">
        <f t="shared" si="2"/>
        <v>195.63814822174021</v>
      </c>
      <c r="G42" s="21">
        <f t="shared" si="3"/>
        <v>35201.287051122505</v>
      </c>
      <c r="I42" s="23">
        <f t="shared" si="4"/>
        <v>3581.9635314712368</v>
      </c>
      <c r="J42" s="23">
        <f t="shared" si="5"/>
        <v>6548.4364685288483</v>
      </c>
    </row>
    <row r="43" spans="1:11" x14ac:dyDescent="0.35">
      <c r="A43" s="19">
        <v>36</v>
      </c>
      <c r="B43" s="20">
        <v>46246</v>
      </c>
      <c r="C43" s="21">
        <f t="shared" si="6"/>
        <v>35201.287051122505</v>
      </c>
      <c r="D43" s="21">
        <f t="shared" si="0"/>
        <v>289.44</v>
      </c>
      <c r="E43" s="21">
        <f t="shared" si="1"/>
        <v>93.283410685474635</v>
      </c>
      <c r="F43" s="21">
        <f t="shared" si="2"/>
        <v>196.15658931452782</v>
      </c>
      <c r="G43" s="21">
        <f t="shared" si="3"/>
        <v>35005.130461807974</v>
      </c>
      <c r="I43" s="23">
        <f t="shared" si="4"/>
        <v>3675.2469421567112</v>
      </c>
      <c r="J43" s="23">
        <f t="shared" si="5"/>
        <v>6744.5930578433763</v>
      </c>
    </row>
    <row r="44" spans="1:11" x14ac:dyDescent="0.35">
      <c r="A44" s="19">
        <v>37</v>
      </c>
      <c r="B44" s="20">
        <v>46260</v>
      </c>
      <c r="C44" s="21">
        <f t="shared" si="6"/>
        <v>35005.130461807974</v>
      </c>
      <c r="D44" s="21">
        <f t="shared" si="0"/>
        <v>289.44</v>
      </c>
      <c r="E44" s="21">
        <f t="shared" si="1"/>
        <v>92.763595723791127</v>
      </c>
      <c r="F44" s="21">
        <f t="shared" si="2"/>
        <v>196.67640427621137</v>
      </c>
      <c r="G44" s="21">
        <f t="shared" si="3"/>
        <v>34808.454057531766</v>
      </c>
      <c r="I44" s="23">
        <f t="shared" si="4"/>
        <v>3768.0105378804992</v>
      </c>
      <c r="J44" s="23">
        <f t="shared" si="5"/>
        <v>6941.2694621195906</v>
      </c>
    </row>
    <row r="45" spans="1:11" x14ac:dyDescent="0.35">
      <c r="A45" s="19">
        <v>38</v>
      </c>
      <c r="B45" s="20">
        <v>46274</v>
      </c>
      <c r="C45" s="21">
        <f t="shared" si="6"/>
        <v>34808.454057531766</v>
      </c>
      <c r="D45" s="21">
        <f t="shared" si="0"/>
        <v>289.44</v>
      </c>
      <c r="E45" s="21">
        <f t="shared" si="1"/>
        <v>92.242403252459155</v>
      </c>
      <c r="F45" s="21">
        <f t="shared" si="2"/>
        <v>197.19759674754329</v>
      </c>
      <c r="G45" s="21">
        <f t="shared" si="3"/>
        <v>34611.256460784221</v>
      </c>
      <c r="I45" s="23">
        <f t="shared" si="4"/>
        <v>3860.2529411329606</v>
      </c>
      <c r="J45" s="23">
        <f t="shared" si="5"/>
        <v>7138.4670588671315</v>
      </c>
    </row>
    <row r="46" spans="1:11" x14ac:dyDescent="0.35">
      <c r="A46" s="19">
        <v>39</v>
      </c>
      <c r="B46" s="20">
        <v>46288</v>
      </c>
      <c r="C46" s="21">
        <f t="shared" si="6"/>
        <v>34611.256460784221</v>
      </c>
      <c r="D46" s="21">
        <f t="shared" si="0"/>
        <v>289.44</v>
      </c>
      <c r="E46" s="21">
        <f t="shared" si="1"/>
        <v>91.719829621078162</v>
      </c>
      <c r="F46" s="21">
        <f t="shared" si="2"/>
        <v>197.72017037892428</v>
      </c>
      <c r="G46" s="21">
        <f t="shared" si="3"/>
        <v>34413.536290405296</v>
      </c>
      <c r="I46" s="23">
        <f t="shared" si="4"/>
        <v>3951.9727707540387</v>
      </c>
      <c r="J46" s="23">
        <f t="shared" si="5"/>
        <v>7336.1872292460557</v>
      </c>
    </row>
    <row r="47" spans="1:11" x14ac:dyDescent="0.35">
      <c r="A47" s="19">
        <v>40</v>
      </c>
      <c r="B47" s="20">
        <v>46302</v>
      </c>
      <c r="C47" s="21">
        <f t="shared" si="6"/>
        <v>34413.536290405296</v>
      </c>
      <c r="D47" s="21">
        <f t="shared" si="0"/>
        <v>289.44</v>
      </c>
      <c r="E47" s="21">
        <f t="shared" si="1"/>
        <v>91.195871169574033</v>
      </c>
      <c r="F47" s="21">
        <f t="shared" si="2"/>
        <v>198.24412883042845</v>
      </c>
      <c r="G47" s="21">
        <f t="shared" si="3"/>
        <v>34215.292161574871</v>
      </c>
      <c r="I47" s="23">
        <f t="shared" si="4"/>
        <v>4043.168641923613</v>
      </c>
      <c r="J47" s="23">
        <f t="shared" si="5"/>
        <v>7534.4313580764838</v>
      </c>
    </row>
    <row r="48" spans="1:11" x14ac:dyDescent="0.35">
      <c r="A48" s="19">
        <v>41</v>
      </c>
      <c r="B48" s="20">
        <v>46316</v>
      </c>
      <c r="C48" s="21">
        <f t="shared" si="6"/>
        <v>34215.292161574871</v>
      </c>
      <c r="D48" s="21">
        <f t="shared" si="0"/>
        <v>289.44</v>
      </c>
      <c r="E48" s="21">
        <f t="shared" si="1"/>
        <v>90.670524228173392</v>
      </c>
      <c r="F48" s="21">
        <f t="shared" si="2"/>
        <v>198.76947577182906</v>
      </c>
      <c r="G48" s="21">
        <f t="shared" si="3"/>
        <v>34016.522685803044</v>
      </c>
      <c r="I48" s="23">
        <f t="shared" si="4"/>
        <v>4133.8391661517871</v>
      </c>
      <c r="J48" s="23">
        <f t="shared" si="5"/>
        <v>7733.2008338483138</v>
      </c>
    </row>
    <row r="49" spans="1:11" x14ac:dyDescent="0.35">
      <c r="A49" s="19">
        <v>42</v>
      </c>
      <c r="B49" s="20">
        <v>46330</v>
      </c>
      <c r="C49" s="21">
        <f t="shared" si="6"/>
        <v>34016.522685803044</v>
      </c>
      <c r="D49" s="21">
        <f t="shared" si="0"/>
        <v>289.44</v>
      </c>
      <c r="E49" s="21">
        <f t="shared" si="1"/>
        <v>90.143785117378044</v>
      </c>
      <c r="F49" s="21">
        <f t="shared" si="2"/>
        <v>199.29621488262441</v>
      </c>
      <c r="G49" s="21">
        <f t="shared" si="3"/>
        <v>33817.226470920417</v>
      </c>
      <c r="I49" s="23">
        <f t="shared" si="4"/>
        <v>4223.9829512691667</v>
      </c>
      <c r="J49" s="23">
        <f t="shared" si="5"/>
        <v>7932.4970487309365</v>
      </c>
    </row>
    <row r="50" spans="1:11" x14ac:dyDescent="0.35">
      <c r="A50" s="19">
        <v>43</v>
      </c>
      <c r="B50" s="20">
        <v>46344</v>
      </c>
      <c r="C50" s="21">
        <f t="shared" si="6"/>
        <v>33817.226470920417</v>
      </c>
      <c r="D50" s="21">
        <f t="shared" si="0"/>
        <v>289.44</v>
      </c>
      <c r="E50" s="21">
        <f t="shared" si="1"/>
        <v>89.615650147939093</v>
      </c>
      <c r="F50" s="21">
        <f t="shared" si="2"/>
        <v>199.82434985206336</v>
      </c>
      <c r="G50" s="21">
        <f t="shared" si="3"/>
        <v>33617.402121068357</v>
      </c>
      <c r="I50" s="23">
        <f t="shared" si="4"/>
        <v>4313.5986014171058</v>
      </c>
      <c r="J50" s="23">
        <f t="shared" si="5"/>
        <v>8132.3213985829998</v>
      </c>
    </row>
    <row r="51" spans="1:11" x14ac:dyDescent="0.35">
      <c r="A51" s="19">
        <v>44</v>
      </c>
      <c r="B51" s="20">
        <v>46358</v>
      </c>
      <c r="C51" s="21">
        <f t="shared" si="6"/>
        <v>33617.402121068357</v>
      </c>
      <c r="D51" s="21">
        <f t="shared" si="0"/>
        <v>289.44</v>
      </c>
      <c r="E51" s="21">
        <f t="shared" si="1"/>
        <v>89.086115620831109</v>
      </c>
      <c r="F51" s="21">
        <f t="shared" si="2"/>
        <v>200.35388437917135</v>
      </c>
      <c r="G51" s="21">
        <f t="shared" si="3"/>
        <v>33417.048236689188</v>
      </c>
      <c r="I51" s="23">
        <f t="shared" si="4"/>
        <v>4402.6847170379333</v>
      </c>
      <c r="J51" s="23">
        <f t="shared" si="5"/>
        <v>8332.6752829621746</v>
      </c>
    </row>
    <row r="52" spans="1:11" x14ac:dyDescent="0.35">
      <c r="A52" s="19">
        <v>45</v>
      </c>
      <c r="B52" s="20">
        <v>46372</v>
      </c>
      <c r="C52" s="21">
        <f t="shared" si="6"/>
        <v>33417.048236689188</v>
      </c>
      <c r="D52" s="21">
        <f t="shared" si="0"/>
        <v>289.44</v>
      </c>
      <c r="E52" s="21">
        <f t="shared" si="1"/>
        <v>88.555177827226316</v>
      </c>
      <c r="F52" s="21">
        <f t="shared" si="2"/>
        <v>200.88482217277613</v>
      </c>
      <c r="G52" s="21">
        <f t="shared" si="3"/>
        <v>33216.163414516413</v>
      </c>
      <c r="I52" s="23">
        <f t="shared" si="4"/>
        <v>4491.2398948651607</v>
      </c>
      <c r="J52" s="23">
        <f t="shared" si="5"/>
        <v>8533.5601051349495</v>
      </c>
    </row>
    <row r="53" spans="1:11" x14ac:dyDescent="0.35">
      <c r="A53" s="19">
        <v>46</v>
      </c>
      <c r="B53" s="20">
        <v>46386</v>
      </c>
      <c r="C53" s="21">
        <f t="shared" si="6"/>
        <v>33216.163414516413</v>
      </c>
      <c r="D53" s="21">
        <f t="shared" si="0"/>
        <v>289.44</v>
      </c>
      <c r="E53" s="21">
        <f t="shared" si="1"/>
        <v>88.022833048468456</v>
      </c>
      <c r="F53" s="21">
        <f t="shared" si="2"/>
        <v>201.417166951534</v>
      </c>
      <c r="G53" s="21">
        <f t="shared" si="3"/>
        <v>33014.746247564879</v>
      </c>
      <c r="I53" s="23">
        <f t="shared" si="4"/>
        <v>4579.2627279136304</v>
      </c>
      <c r="J53" s="23">
        <f t="shared" si="5"/>
        <v>8734.9772720864821</v>
      </c>
    </row>
    <row r="54" spans="1:11" x14ac:dyDescent="0.35">
      <c r="A54" s="19">
        <v>47</v>
      </c>
      <c r="B54" s="20">
        <v>46400</v>
      </c>
      <c r="C54" s="21">
        <f t="shared" si="6"/>
        <v>33014.746247564879</v>
      </c>
      <c r="D54" s="21">
        <f t="shared" si="0"/>
        <v>289.44</v>
      </c>
      <c r="E54" s="21">
        <f t="shared" si="1"/>
        <v>87.489077556046894</v>
      </c>
      <c r="F54" s="21">
        <f t="shared" si="2"/>
        <v>201.95092244395556</v>
      </c>
      <c r="G54" s="21">
        <f t="shared" si="3"/>
        <v>32812.795325120926</v>
      </c>
      <c r="I54" s="23">
        <f t="shared" si="4"/>
        <v>4666.7518054696775</v>
      </c>
      <c r="J54" s="23">
        <f t="shared" si="5"/>
        <v>8936.9281945304374</v>
      </c>
    </row>
    <row r="55" spans="1:11" x14ac:dyDescent="0.35">
      <c r="A55" s="19">
        <v>48</v>
      </c>
      <c r="B55" s="20">
        <v>46414</v>
      </c>
      <c r="C55" s="21">
        <f t="shared" si="6"/>
        <v>32812.795325120926</v>
      </c>
      <c r="D55" s="21">
        <f t="shared" si="0"/>
        <v>289.44</v>
      </c>
      <c r="E55" s="21">
        <f t="shared" si="1"/>
        <v>86.953907611570415</v>
      </c>
      <c r="F55" s="21">
        <f t="shared" si="2"/>
        <v>202.48609238843204</v>
      </c>
      <c r="G55" s="29">
        <f t="shared" si="3"/>
        <v>32610.309232732492</v>
      </c>
      <c r="I55" s="23">
        <f t="shared" si="4"/>
        <v>4753.7057130812482</v>
      </c>
      <c r="J55" s="23">
        <f t="shared" si="5"/>
        <v>9139.414286918869</v>
      </c>
    </row>
    <row r="56" spans="1:11" x14ac:dyDescent="0.35">
      <c r="A56" s="19">
        <v>49</v>
      </c>
      <c r="B56" s="20">
        <v>46428</v>
      </c>
      <c r="C56" s="21">
        <f t="shared" si="6"/>
        <v>32610.309232732492</v>
      </c>
      <c r="D56" s="21">
        <f t="shared" si="0"/>
        <v>289.44</v>
      </c>
      <c r="E56" s="21">
        <f t="shared" si="1"/>
        <v>86.417319466741063</v>
      </c>
      <c r="F56" s="21">
        <f t="shared" si="2"/>
        <v>203.02268053326139</v>
      </c>
      <c r="G56" s="29">
        <f t="shared" si="3"/>
        <v>32407.286552199232</v>
      </c>
      <c r="I56" s="23">
        <f t="shared" si="4"/>
        <v>4840.1230325479883</v>
      </c>
      <c r="J56" s="23">
        <f t="shared" si="5"/>
        <v>9342.4369674521313</v>
      </c>
    </row>
    <row r="57" spans="1:11" x14ac:dyDescent="0.35">
      <c r="A57" s="19">
        <v>50</v>
      </c>
      <c r="B57" s="20">
        <v>46442</v>
      </c>
      <c r="C57" s="21">
        <f t="shared" si="6"/>
        <v>32407.286552199232</v>
      </c>
      <c r="D57" s="21">
        <f t="shared" si="0"/>
        <v>289.44</v>
      </c>
      <c r="E57" s="21">
        <f t="shared" si="1"/>
        <v>85.87930936332792</v>
      </c>
      <c r="F57" s="21">
        <f t="shared" si="2"/>
        <v>203.56069063667454</v>
      </c>
      <c r="G57" s="29">
        <f t="shared" si="3"/>
        <v>32203.725861562558</v>
      </c>
      <c r="I57" s="23">
        <f t="shared" si="4"/>
        <v>4926.0023419113168</v>
      </c>
      <c r="J57" s="23">
        <f t="shared" si="5"/>
        <v>9545.9976580888051</v>
      </c>
    </row>
    <row r="58" spans="1:11" x14ac:dyDescent="0.35">
      <c r="A58" s="19">
        <v>51</v>
      </c>
      <c r="B58" s="20">
        <v>46456</v>
      </c>
      <c r="C58" s="21">
        <f t="shared" si="6"/>
        <v>32203.725861562558</v>
      </c>
      <c r="D58" s="21">
        <f t="shared" si="0"/>
        <v>289.44</v>
      </c>
      <c r="E58" s="21">
        <f t="shared" si="1"/>
        <v>85.339873533140732</v>
      </c>
      <c r="F58" s="21">
        <f t="shared" si="2"/>
        <v>204.10012646686172</v>
      </c>
      <c r="G58" s="29">
        <f t="shared" si="3"/>
        <v>31999.625735095695</v>
      </c>
      <c r="I58" s="23">
        <f t="shared" si="4"/>
        <v>5011.3422154444543</v>
      </c>
      <c r="J58" s="23">
        <f t="shared" si="5"/>
        <v>9750.0977845556699</v>
      </c>
    </row>
    <row r="59" spans="1:11" x14ac:dyDescent="0.35">
      <c r="A59" s="25">
        <v>52</v>
      </c>
      <c r="B59" s="26">
        <v>46470</v>
      </c>
      <c r="C59" s="22">
        <f t="shared" si="6"/>
        <v>31999.625735095695</v>
      </c>
      <c r="D59" s="22">
        <f t="shared" si="0"/>
        <v>289.44</v>
      </c>
      <c r="E59" s="22">
        <f t="shared" si="1"/>
        <v>84.799008198003548</v>
      </c>
      <c r="F59" s="22">
        <f t="shared" si="2"/>
        <v>204.64099180199889</v>
      </c>
      <c r="G59" s="22">
        <f t="shared" si="3"/>
        <v>31794.984743293695</v>
      </c>
      <c r="H59" s="27"/>
      <c r="I59" s="28">
        <f t="shared" si="4"/>
        <v>5096.1412236424603</v>
      </c>
      <c r="J59" s="28">
        <f t="shared" si="5"/>
        <v>9954.7387763576662</v>
      </c>
      <c r="K59" s="3">
        <v>2</v>
      </c>
    </row>
    <row r="60" spans="1:11" x14ac:dyDescent="0.35">
      <c r="A60" s="19">
        <v>53</v>
      </c>
      <c r="B60" s="20">
        <v>46484</v>
      </c>
      <c r="C60" s="21">
        <f t="shared" si="6"/>
        <v>31794.984743293695</v>
      </c>
      <c r="D60" s="21">
        <f t="shared" si="0"/>
        <v>289.44</v>
      </c>
      <c r="E60" s="21">
        <f t="shared" si="1"/>
        <v>84.256709569728258</v>
      </c>
      <c r="F60" s="21">
        <f t="shared" si="2"/>
        <v>205.18329043027421</v>
      </c>
      <c r="G60" s="29">
        <f t="shared" si="3"/>
        <v>31589.801452863419</v>
      </c>
      <c r="I60" s="23">
        <f t="shared" si="4"/>
        <v>5180.3979332121853</v>
      </c>
      <c r="J60" s="23">
        <f t="shared" si="5"/>
        <v>10159.922066787944</v>
      </c>
    </row>
    <row r="61" spans="1:11" x14ac:dyDescent="0.35">
      <c r="A61" s="19">
        <v>54</v>
      </c>
      <c r="B61" s="20">
        <v>46498</v>
      </c>
      <c r="C61" s="21">
        <f t="shared" si="6"/>
        <v>31589.801452863419</v>
      </c>
      <c r="D61" s="21">
        <f t="shared" si="0"/>
        <v>289.44</v>
      </c>
      <c r="E61" s="21">
        <f t="shared" si="1"/>
        <v>83.712973850088034</v>
      </c>
      <c r="F61" s="21">
        <f t="shared" si="2"/>
        <v>205.72702614991442</v>
      </c>
      <c r="G61" s="29">
        <f t="shared" si="3"/>
        <v>31384.074426713505</v>
      </c>
      <c r="I61" s="23">
        <f t="shared" si="4"/>
        <v>5264.1109070622751</v>
      </c>
      <c r="J61" s="23">
        <f t="shared" si="5"/>
        <v>10365.649092937856</v>
      </c>
    </row>
    <row r="62" spans="1:11" x14ac:dyDescent="0.35">
      <c r="A62" s="19">
        <v>55</v>
      </c>
      <c r="B62" s="20">
        <v>46512</v>
      </c>
      <c r="C62" s="21">
        <f t="shared" si="6"/>
        <v>31384.074426713505</v>
      </c>
      <c r="D62" s="21">
        <f t="shared" si="0"/>
        <v>289.44</v>
      </c>
      <c r="E62" s="21">
        <f t="shared" si="1"/>
        <v>83.167797230790754</v>
      </c>
      <c r="F62" s="21">
        <f t="shared" si="2"/>
        <v>206.27220276921167</v>
      </c>
      <c r="G62" s="29">
        <f t="shared" si="3"/>
        <v>31177.802223944294</v>
      </c>
      <c r="I62" s="23">
        <f t="shared" si="4"/>
        <v>5347.2787042930649</v>
      </c>
      <c r="J62" s="23">
        <f t="shared" si="5"/>
        <v>10571.921295707069</v>
      </c>
    </row>
    <row r="63" spans="1:11" x14ac:dyDescent="0.35">
      <c r="A63" s="19">
        <v>56</v>
      </c>
      <c r="B63" s="20">
        <v>46526</v>
      </c>
      <c r="C63" s="21">
        <f t="shared" si="6"/>
        <v>31177.802223944294</v>
      </c>
      <c r="D63" s="21">
        <f t="shared" si="0"/>
        <v>289.44</v>
      </c>
      <c r="E63" s="21">
        <f t="shared" si="1"/>
        <v>82.621175893452346</v>
      </c>
      <c r="F63" s="21">
        <f t="shared" si="2"/>
        <v>206.81882410655012</v>
      </c>
      <c r="G63" s="29">
        <f t="shared" si="3"/>
        <v>30970.983399837743</v>
      </c>
      <c r="I63" s="23">
        <f t="shared" si="4"/>
        <v>5429.89988018652</v>
      </c>
      <c r="J63" s="23">
        <f t="shared" si="5"/>
        <v>10778.740119813618</v>
      </c>
    </row>
    <row r="64" spans="1:11" x14ac:dyDescent="0.35">
      <c r="A64" s="19">
        <v>57</v>
      </c>
      <c r="B64" s="20">
        <v>46540</v>
      </c>
      <c r="C64" s="21">
        <f t="shared" si="6"/>
        <v>30970.983399837743</v>
      </c>
      <c r="D64" s="21">
        <f t="shared" si="0"/>
        <v>289.44</v>
      </c>
      <c r="E64" s="21">
        <f t="shared" si="1"/>
        <v>82.073106009569997</v>
      </c>
      <c r="F64" s="21">
        <f t="shared" si="2"/>
        <v>207.36689399043249</v>
      </c>
      <c r="G64" s="29">
        <f t="shared" si="3"/>
        <v>30763.616505847313</v>
      </c>
      <c r="I64" s="23">
        <f t="shared" si="4"/>
        <v>5511.9729861960896</v>
      </c>
      <c r="J64" s="23">
        <f t="shared" si="5"/>
        <v>10986.10701380405</v>
      </c>
    </row>
    <row r="65" spans="1:10" x14ac:dyDescent="0.35">
      <c r="A65" s="19">
        <v>58</v>
      </c>
      <c r="B65" s="20">
        <v>46554</v>
      </c>
      <c r="C65" s="21">
        <f t="shared" si="6"/>
        <v>30763.616505847313</v>
      </c>
      <c r="D65" s="21">
        <f t="shared" si="0"/>
        <v>289.44</v>
      </c>
      <c r="E65" s="21">
        <f t="shared" si="1"/>
        <v>81.523583740495354</v>
      </c>
      <c r="F65" s="21">
        <f t="shared" si="2"/>
        <v>207.91641625950712</v>
      </c>
      <c r="G65" s="29">
        <f t="shared" si="3"/>
        <v>30555.700089587805</v>
      </c>
      <c r="I65" s="23">
        <f t="shared" si="4"/>
        <v>5593.4965699365839</v>
      </c>
      <c r="J65" s="23">
        <f t="shared" si="5"/>
        <v>11194.023430063558</v>
      </c>
    </row>
    <row r="66" spans="1:10" x14ac:dyDescent="0.35">
      <c r="A66" s="19">
        <v>59</v>
      </c>
      <c r="B66" s="20">
        <v>46568</v>
      </c>
      <c r="C66" s="21">
        <f t="shared" si="6"/>
        <v>30555.700089587805</v>
      </c>
      <c r="D66" s="21">
        <f t="shared" si="0"/>
        <v>289.44</v>
      </c>
      <c r="E66" s="21">
        <f t="shared" si="1"/>
        <v>80.972605237407649</v>
      </c>
      <c r="F66" s="21">
        <f t="shared" si="2"/>
        <v>208.46739476259478</v>
      </c>
      <c r="G66" s="29">
        <f t="shared" si="3"/>
        <v>30347.232694825208</v>
      </c>
      <c r="I66" s="23">
        <f t="shared" si="4"/>
        <v>5674.469175173992</v>
      </c>
      <c r="J66" s="23">
        <f t="shared" si="5"/>
        <v>11402.490824826153</v>
      </c>
    </row>
    <row r="67" spans="1:10" x14ac:dyDescent="0.35">
      <c r="A67" s="19">
        <v>60</v>
      </c>
      <c r="B67" s="20">
        <v>46582</v>
      </c>
      <c r="C67" s="21">
        <f t="shared" si="6"/>
        <v>30347.232694825208</v>
      </c>
      <c r="D67" s="21">
        <f t="shared" si="0"/>
        <v>289.44</v>
      </c>
      <c r="E67" s="21">
        <f t="shared" si="1"/>
        <v>80.42016664128677</v>
      </c>
      <c r="F67" s="21">
        <f t="shared" si="2"/>
        <v>209.01983335871572</v>
      </c>
      <c r="G67" s="29">
        <f t="shared" si="3"/>
        <v>30138.212861466494</v>
      </c>
      <c r="I67" s="23">
        <f t="shared" si="4"/>
        <v>5754.8893418152784</v>
      </c>
      <c r="J67" s="23">
        <f t="shared" si="5"/>
        <v>11611.510658184869</v>
      </c>
    </row>
    <row r="68" spans="1:10" x14ac:dyDescent="0.35">
      <c r="A68" s="19">
        <v>61</v>
      </c>
      <c r="B68" s="20">
        <v>46596</v>
      </c>
      <c r="C68" s="21">
        <f t="shared" si="6"/>
        <v>30138.212861466494</v>
      </c>
      <c r="D68" s="21">
        <f t="shared" si="0"/>
        <v>289.44</v>
      </c>
      <c r="E68" s="21">
        <f t="shared" si="1"/>
        <v>79.866264082886175</v>
      </c>
      <c r="F68" s="21">
        <f t="shared" si="2"/>
        <v>209.5737359171163</v>
      </c>
      <c r="G68" s="29">
        <f t="shared" si="3"/>
        <v>29928.639125549376</v>
      </c>
      <c r="I68" s="23">
        <f t="shared" si="4"/>
        <v>5834.7556058981663</v>
      </c>
      <c r="J68" s="23">
        <f t="shared" si="5"/>
        <v>11821.084394101983</v>
      </c>
    </row>
    <row r="69" spans="1:10" x14ac:dyDescent="0.35">
      <c r="A69" s="19">
        <v>62</v>
      </c>
      <c r="B69" s="20">
        <v>46610</v>
      </c>
      <c r="C69" s="21">
        <f t="shared" si="6"/>
        <v>29928.639125549376</v>
      </c>
      <c r="D69" s="21">
        <f t="shared" si="0"/>
        <v>289.44</v>
      </c>
      <c r="E69" s="21">
        <f t="shared" si="1"/>
        <v>79.310893682705824</v>
      </c>
      <c r="F69" s="21">
        <f t="shared" si="2"/>
        <v>210.12910631729665</v>
      </c>
      <c r="G69" s="29">
        <f t="shared" si="3"/>
        <v>29718.510019232079</v>
      </c>
      <c r="I69" s="23">
        <f t="shared" si="4"/>
        <v>5914.0664995808711</v>
      </c>
      <c r="J69" s="23">
        <f t="shared" si="5"/>
        <v>12031.213500419281</v>
      </c>
    </row>
    <row r="70" spans="1:10" x14ac:dyDescent="0.35">
      <c r="A70" s="19">
        <v>63</v>
      </c>
      <c r="B70" s="20">
        <v>46624</v>
      </c>
      <c r="C70" s="21">
        <f t="shared" si="6"/>
        <v>29718.510019232079</v>
      </c>
      <c r="D70" s="21">
        <f t="shared" si="0"/>
        <v>289.44</v>
      </c>
      <c r="E70" s="21">
        <f t="shared" si="1"/>
        <v>78.754051550964988</v>
      </c>
      <c r="F70" s="21">
        <f t="shared" si="2"/>
        <v>210.68594844903745</v>
      </c>
      <c r="G70" s="29">
        <f t="shared" si="3"/>
        <v>29507.824070783041</v>
      </c>
      <c r="I70" s="23">
        <f t="shared" si="4"/>
        <v>5992.8205511318374</v>
      </c>
      <c r="J70" s="23">
        <f t="shared" si="5"/>
        <v>12241.899448868317</v>
      </c>
    </row>
    <row r="71" spans="1:10" x14ac:dyDescent="0.35">
      <c r="A71" s="19">
        <v>64</v>
      </c>
      <c r="B71" s="20">
        <v>46638</v>
      </c>
      <c r="C71" s="21">
        <f t="shared" si="6"/>
        <v>29507.824070783041</v>
      </c>
      <c r="D71" s="21">
        <f t="shared" si="0"/>
        <v>289.44</v>
      </c>
      <c r="E71" s="21">
        <f t="shared" si="1"/>
        <v>78.195733787575037</v>
      </c>
      <c r="F71" s="21">
        <f t="shared" si="2"/>
        <v>211.24426621242745</v>
      </c>
      <c r="G71" s="29">
        <f t="shared" si="3"/>
        <v>29296.579804570614</v>
      </c>
      <c r="I71" s="23">
        <f t="shared" si="4"/>
        <v>6071.0162849194112</v>
      </c>
      <c r="J71" s="23">
        <f t="shared" si="5"/>
        <v>12453.143715080745</v>
      </c>
    </row>
    <row r="72" spans="1:10" x14ac:dyDescent="0.35">
      <c r="A72" s="19">
        <v>65</v>
      </c>
      <c r="B72" s="20">
        <v>46652</v>
      </c>
      <c r="C72" s="21">
        <f t="shared" si="6"/>
        <v>29296.579804570614</v>
      </c>
      <c r="D72" s="21">
        <f t="shared" ref="D72:D135" si="7">B$2</f>
        <v>289.44</v>
      </c>
      <c r="E72" s="21">
        <f t="shared" ref="E72:E135" si="8">-IPMT(E$3,A72,E$4,E$2)</f>
        <v>77.635936482112101</v>
      </c>
      <c r="F72" s="21">
        <f t="shared" ref="F72:F135" si="9">-PPMT(E$3,A72,E$4,E$2)</f>
        <v>211.80406351789037</v>
      </c>
      <c r="G72" s="29">
        <f t="shared" ref="G72:G135" si="10">C72-F72</f>
        <v>29084.775741052723</v>
      </c>
      <c r="I72" s="23">
        <f t="shared" ref="I72:I135" si="11">-CUMIPMT(E$3,E$4,E$2,A$8,A72,0)</f>
        <v>6148.6522214015204</v>
      </c>
      <c r="J72" s="23">
        <f t="shared" ref="J72:J135" si="12">-CUMPRINC(E$3,E$4,E$2,A$8,A72,0)</f>
        <v>12664.947778598638</v>
      </c>
    </row>
    <row r="73" spans="1:10" x14ac:dyDescent="0.35">
      <c r="A73" s="19">
        <v>66</v>
      </c>
      <c r="B73" s="20">
        <v>46666</v>
      </c>
      <c r="C73" s="21">
        <f t="shared" ref="C73:C136" si="13">G72</f>
        <v>29084.775741052723</v>
      </c>
      <c r="D73" s="21">
        <f t="shared" si="7"/>
        <v>289.44</v>
      </c>
      <c r="E73" s="21">
        <f t="shared" si="8"/>
        <v>77.074655713789696</v>
      </c>
      <c r="F73" s="21">
        <f t="shared" si="9"/>
        <v>212.36534428621277</v>
      </c>
      <c r="G73" s="29">
        <f t="shared" si="10"/>
        <v>28872.410396766511</v>
      </c>
      <c r="I73" s="23">
        <f t="shared" si="11"/>
        <v>6225.7268771153103</v>
      </c>
      <c r="J73" s="23">
        <f t="shared" si="12"/>
        <v>12877.313122884851</v>
      </c>
    </row>
    <row r="74" spans="1:10" x14ac:dyDescent="0.35">
      <c r="A74" s="19">
        <v>67</v>
      </c>
      <c r="B74" s="20">
        <v>46680</v>
      </c>
      <c r="C74" s="21">
        <f t="shared" si="13"/>
        <v>28872.410396766511</v>
      </c>
      <c r="D74" s="21">
        <f t="shared" si="7"/>
        <v>289.44</v>
      </c>
      <c r="E74" s="21">
        <f t="shared" si="8"/>
        <v>76.511887551431229</v>
      </c>
      <c r="F74" s="21">
        <f t="shared" si="9"/>
        <v>212.92811244857126</v>
      </c>
      <c r="G74" s="29">
        <f t="shared" si="10"/>
        <v>28659.482284317939</v>
      </c>
      <c r="I74" s="23">
        <f t="shared" si="11"/>
        <v>6302.238764666743</v>
      </c>
      <c r="J74" s="23">
        <f t="shared" si="12"/>
        <v>13090.24123533342</v>
      </c>
    </row>
    <row r="75" spans="1:10" x14ac:dyDescent="0.35">
      <c r="A75" s="19">
        <v>68</v>
      </c>
      <c r="B75" s="20">
        <v>46694</v>
      </c>
      <c r="C75" s="21">
        <f t="shared" si="13"/>
        <v>28659.482284317939</v>
      </c>
      <c r="D75" s="21">
        <f t="shared" si="7"/>
        <v>289.44</v>
      </c>
      <c r="E75" s="21">
        <f t="shared" si="8"/>
        <v>75.947628053442514</v>
      </c>
      <c r="F75" s="21">
        <f t="shared" si="9"/>
        <v>213.49237194655996</v>
      </c>
      <c r="G75" s="29">
        <f t="shared" si="10"/>
        <v>28445.98991237138</v>
      </c>
      <c r="I75" s="23">
        <f t="shared" si="11"/>
        <v>6378.1863927201866</v>
      </c>
      <c r="J75" s="23">
        <f t="shared" si="12"/>
        <v>13303.733607279979</v>
      </c>
    </row>
    <row r="76" spans="1:10" x14ac:dyDescent="0.35">
      <c r="A76" s="19">
        <v>69</v>
      </c>
      <c r="B76" s="20">
        <v>46708</v>
      </c>
      <c r="C76" s="21">
        <f t="shared" si="13"/>
        <v>28445.98991237138</v>
      </c>
      <c r="D76" s="21">
        <f t="shared" si="7"/>
        <v>289.44</v>
      </c>
      <c r="E76" s="21">
        <f t="shared" si="8"/>
        <v>75.38187326778413</v>
      </c>
      <c r="F76" s="21">
        <f t="shared" si="9"/>
        <v>214.05812673221834</v>
      </c>
      <c r="G76" s="29">
        <f t="shared" si="10"/>
        <v>28231.931785639161</v>
      </c>
      <c r="I76" s="23">
        <f t="shared" si="11"/>
        <v>6453.5682659879694</v>
      </c>
      <c r="J76" s="23">
        <f t="shared" si="12"/>
        <v>13517.791734012199</v>
      </c>
    </row>
    <row r="77" spans="1:10" x14ac:dyDescent="0.35">
      <c r="A77" s="19">
        <v>70</v>
      </c>
      <c r="B77" s="20">
        <v>46722</v>
      </c>
      <c r="C77" s="21">
        <f t="shared" si="13"/>
        <v>28231.931785639161</v>
      </c>
      <c r="D77" s="21">
        <f t="shared" si="7"/>
        <v>289.44</v>
      </c>
      <c r="E77" s="21">
        <f t="shared" si="8"/>
        <v>74.814619231943752</v>
      </c>
      <c r="F77" s="21">
        <f t="shared" si="9"/>
        <v>214.6253807680587</v>
      </c>
      <c r="G77" s="29">
        <f t="shared" si="10"/>
        <v>28017.306404871102</v>
      </c>
      <c r="I77" s="23">
        <f t="shared" si="11"/>
        <v>6528.3828852199149</v>
      </c>
      <c r="J77" s="23">
        <f t="shared" si="12"/>
        <v>13732.417114780255</v>
      </c>
    </row>
    <row r="78" spans="1:10" x14ac:dyDescent="0.35">
      <c r="A78" s="19">
        <v>71</v>
      </c>
      <c r="B78" s="20">
        <v>46736</v>
      </c>
      <c r="C78" s="21">
        <f t="shared" si="13"/>
        <v>28017.306404871102</v>
      </c>
      <c r="D78" s="21">
        <f t="shared" si="7"/>
        <v>289.44</v>
      </c>
      <c r="E78" s="21">
        <f t="shared" si="8"/>
        <v>74.245861972908386</v>
      </c>
      <c r="F78" s="21">
        <f t="shared" si="9"/>
        <v>215.19413802709406</v>
      </c>
      <c r="G78" s="29">
        <f t="shared" si="10"/>
        <v>27802.112266844008</v>
      </c>
      <c r="I78" s="23">
        <f t="shared" si="11"/>
        <v>6602.6287471928208</v>
      </c>
      <c r="J78" s="23">
        <f t="shared" si="12"/>
        <v>13947.611252807352</v>
      </c>
    </row>
    <row r="79" spans="1:10" x14ac:dyDescent="0.35">
      <c r="A79" s="19">
        <v>72</v>
      </c>
      <c r="B79" s="20">
        <v>46750</v>
      </c>
      <c r="C79" s="21">
        <f t="shared" si="13"/>
        <v>27802.112266844008</v>
      </c>
      <c r="D79" s="21">
        <f t="shared" si="7"/>
        <v>289.44</v>
      </c>
      <c r="E79" s="21">
        <f t="shared" si="8"/>
        <v>73.675597507136601</v>
      </c>
      <c r="F79" s="21">
        <f t="shared" si="9"/>
        <v>215.76440249286588</v>
      </c>
      <c r="G79" s="29">
        <f t="shared" si="10"/>
        <v>27586.347864351141</v>
      </c>
      <c r="I79" s="23">
        <f t="shared" si="11"/>
        <v>6676.30434469996</v>
      </c>
      <c r="J79" s="23">
        <f t="shared" si="12"/>
        <v>14163.375655300215</v>
      </c>
    </row>
    <row r="80" spans="1:10" x14ac:dyDescent="0.35">
      <c r="A80" s="19">
        <v>73</v>
      </c>
      <c r="B80" s="20">
        <v>46764</v>
      </c>
      <c r="C80" s="21">
        <f t="shared" si="13"/>
        <v>27586.347864351141</v>
      </c>
      <c r="D80" s="21">
        <f t="shared" si="7"/>
        <v>289.44</v>
      </c>
      <c r="E80" s="21">
        <f t="shared" si="8"/>
        <v>73.1038218405305</v>
      </c>
      <c r="F80" s="21">
        <f t="shared" si="9"/>
        <v>216.33617815947196</v>
      </c>
      <c r="G80" s="29">
        <f t="shared" si="10"/>
        <v>27370.011686191669</v>
      </c>
      <c r="I80" s="23">
        <f t="shared" si="11"/>
        <v>6749.4081665404919</v>
      </c>
      <c r="J80" s="23">
        <f t="shared" si="12"/>
        <v>14379.711833459685</v>
      </c>
    </row>
    <row r="81" spans="1:11" x14ac:dyDescent="0.35">
      <c r="A81" s="19">
        <v>74</v>
      </c>
      <c r="B81" s="20">
        <v>46778</v>
      </c>
      <c r="C81" s="21">
        <f t="shared" si="13"/>
        <v>27370.011686191669</v>
      </c>
      <c r="D81" s="21">
        <f t="shared" si="7"/>
        <v>289.44</v>
      </c>
      <c r="E81" s="21">
        <f t="shared" si="8"/>
        <v>72.530530968407902</v>
      </c>
      <c r="F81" s="21">
        <f t="shared" si="9"/>
        <v>216.90946903159457</v>
      </c>
      <c r="G81" s="29">
        <f t="shared" si="10"/>
        <v>27153.102217160074</v>
      </c>
      <c r="I81" s="23">
        <f t="shared" si="11"/>
        <v>6821.9386975088946</v>
      </c>
      <c r="J81" s="23">
        <f t="shared" si="12"/>
        <v>14596.621302491285</v>
      </c>
    </row>
    <row r="82" spans="1:11" x14ac:dyDescent="0.35">
      <c r="A82" s="19">
        <v>75</v>
      </c>
      <c r="B82" s="20">
        <v>46792</v>
      </c>
      <c r="C82" s="21">
        <f t="shared" si="13"/>
        <v>27153.102217160074</v>
      </c>
      <c r="D82" s="21">
        <f t="shared" si="7"/>
        <v>289.44</v>
      </c>
      <c r="E82" s="21">
        <f t="shared" si="8"/>
        <v>71.955720875474185</v>
      </c>
      <c r="F82" s="21">
        <f t="shared" si="9"/>
        <v>217.48427912452829</v>
      </c>
      <c r="G82" s="29">
        <f t="shared" si="10"/>
        <v>26935.617938035546</v>
      </c>
      <c r="I82" s="23">
        <f t="shared" si="11"/>
        <v>6893.8944183843705</v>
      </c>
      <c r="J82" s="23">
        <f t="shared" si="12"/>
        <v>14814.105581615811</v>
      </c>
    </row>
    <row r="83" spans="1:11" x14ac:dyDescent="0.35">
      <c r="A83" s="19">
        <v>76</v>
      </c>
      <c r="B83" s="20">
        <v>46806</v>
      </c>
      <c r="C83" s="21">
        <f t="shared" si="13"/>
        <v>26935.617938035546</v>
      </c>
      <c r="D83" s="21">
        <f t="shared" si="7"/>
        <v>289.44</v>
      </c>
      <c r="E83" s="21">
        <f t="shared" si="8"/>
        <v>71.37938753579418</v>
      </c>
      <c r="F83" s="21">
        <f t="shared" si="9"/>
        <v>218.0606124642083</v>
      </c>
      <c r="G83" s="29">
        <f t="shared" si="10"/>
        <v>26717.557325571339</v>
      </c>
      <c r="I83" s="23">
        <f t="shared" si="11"/>
        <v>6965.2738059201638</v>
      </c>
      <c r="J83" s="23">
        <f t="shared" si="12"/>
        <v>15032.16619408002</v>
      </c>
    </row>
    <row r="84" spans="1:11" x14ac:dyDescent="0.35">
      <c r="A84" s="19">
        <v>77</v>
      </c>
      <c r="B84" s="20">
        <v>46820</v>
      </c>
      <c r="C84" s="21">
        <f t="shared" si="13"/>
        <v>26717.557325571339</v>
      </c>
      <c r="D84" s="21">
        <f t="shared" si="7"/>
        <v>289.44</v>
      </c>
      <c r="E84" s="21">
        <f t="shared" si="8"/>
        <v>70.801526912764032</v>
      </c>
      <c r="F84" s="21">
        <f t="shared" si="9"/>
        <v>218.63847308723845</v>
      </c>
      <c r="G84" s="29">
        <f t="shared" si="10"/>
        <v>26498.918852484101</v>
      </c>
      <c r="I84" s="23">
        <f t="shared" si="11"/>
        <v>7036.0753328329265</v>
      </c>
      <c r="J84" s="23">
        <f t="shared" si="12"/>
        <v>15250.80466716726</v>
      </c>
    </row>
    <row r="85" spans="1:11" x14ac:dyDescent="0.35">
      <c r="A85" s="25">
        <v>78</v>
      </c>
      <c r="B85" s="26">
        <v>46834</v>
      </c>
      <c r="C85" s="22">
        <f t="shared" si="13"/>
        <v>26498.918852484101</v>
      </c>
      <c r="D85" s="22">
        <f t="shared" si="7"/>
        <v>289.44</v>
      </c>
      <c r="E85" s="22">
        <f t="shared" si="8"/>
        <v>70.222134959082851</v>
      </c>
      <c r="F85" s="22">
        <f t="shared" si="9"/>
        <v>219.21786504091963</v>
      </c>
      <c r="G85" s="22">
        <f t="shared" si="10"/>
        <v>26279.700987443182</v>
      </c>
      <c r="H85" s="27"/>
      <c r="I85" s="28">
        <f t="shared" si="11"/>
        <v>7106.2974677920101</v>
      </c>
      <c r="J85" s="28">
        <f t="shared" si="12"/>
        <v>15470.022532208179</v>
      </c>
      <c r="K85" s="3">
        <v>3</v>
      </c>
    </row>
    <row r="86" spans="1:11" x14ac:dyDescent="0.35">
      <c r="A86" s="19">
        <v>79</v>
      </c>
      <c r="B86" s="20">
        <v>46848</v>
      </c>
      <c r="C86" s="21">
        <f t="shared" si="13"/>
        <v>26279.700987443182</v>
      </c>
      <c r="D86" s="21">
        <f t="shared" si="7"/>
        <v>289.44</v>
      </c>
      <c r="E86" s="21">
        <f t="shared" si="8"/>
        <v>69.641207616724415</v>
      </c>
      <c r="F86" s="21">
        <f t="shared" si="9"/>
        <v>219.79879238327808</v>
      </c>
      <c r="G86" s="29">
        <f t="shared" si="10"/>
        <v>26059.902195059905</v>
      </c>
      <c r="I86" s="23">
        <f t="shared" si="11"/>
        <v>7175.9386754087354</v>
      </c>
      <c r="J86" s="23">
        <f t="shared" si="12"/>
        <v>15689.821324591456</v>
      </c>
    </row>
    <row r="87" spans="1:11" x14ac:dyDescent="0.35">
      <c r="A87" s="19">
        <v>80</v>
      </c>
      <c r="B87" s="20">
        <v>46862</v>
      </c>
      <c r="C87" s="21">
        <f t="shared" si="13"/>
        <v>26059.902195059905</v>
      </c>
      <c r="D87" s="21">
        <f t="shared" si="7"/>
        <v>289.44</v>
      </c>
      <c r="E87" s="21">
        <f t="shared" si="8"/>
        <v>69.05874081690871</v>
      </c>
      <c r="F87" s="21">
        <f t="shared" si="9"/>
        <v>220.38125918309376</v>
      </c>
      <c r="G87" s="29">
        <f t="shared" si="10"/>
        <v>25839.520935876812</v>
      </c>
      <c r="I87" s="23">
        <f t="shared" si="11"/>
        <v>7244.997416225644</v>
      </c>
      <c r="J87" s="23">
        <f t="shared" si="12"/>
        <v>15910.20258377455</v>
      </c>
    </row>
    <row r="88" spans="1:11" x14ac:dyDescent="0.35">
      <c r="A88" s="19">
        <v>81</v>
      </c>
      <c r="B88" s="20">
        <v>46876</v>
      </c>
      <c r="C88" s="21">
        <f t="shared" si="13"/>
        <v>25839.520935876812</v>
      </c>
      <c r="D88" s="21">
        <f t="shared" si="7"/>
        <v>289.44</v>
      </c>
      <c r="E88" s="21">
        <f t="shared" si="8"/>
        <v>68.474730480073518</v>
      </c>
      <c r="F88" s="21">
        <f t="shared" si="9"/>
        <v>220.96526951992894</v>
      </c>
      <c r="G88" s="29">
        <f t="shared" si="10"/>
        <v>25618.555666356882</v>
      </c>
      <c r="I88" s="23">
        <f t="shared" si="11"/>
        <v>7313.4721467057243</v>
      </c>
      <c r="J88" s="23">
        <f t="shared" si="12"/>
        <v>16131.167853294475</v>
      </c>
    </row>
    <row r="89" spans="1:11" x14ac:dyDescent="0.35">
      <c r="A89" s="19">
        <v>82</v>
      </c>
      <c r="B89" s="20">
        <v>46890</v>
      </c>
      <c r="C89" s="21">
        <f t="shared" si="13"/>
        <v>25618.555666356882</v>
      </c>
      <c r="D89" s="21">
        <f t="shared" si="7"/>
        <v>289.44</v>
      </c>
      <c r="E89" s="21">
        <f t="shared" si="8"/>
        <v>67.889172515845715</v>
      </c>
      <c r="F89" s="21">
        <f t="shared" si="9"/>
        <v>221.55082748415677</v>
      </c>
      <c r="G89" s="29">
        <f t="shared" si="10"/>
        <v>25397.004838872726</v>
      </c>
      <c r="I89" s="23">
        <f t="shared" si="11"/>
        <v>7381.3613192215671</v>
      </c>
      <c r="J89" s="23">
        <f t="shared" si="12"/>
        <v>16352.718680778635</v>
      </c>
    </row>
    <row r="90" spans="1:11" x14ac:dyDescent="0.35">
      <c r="A90" s="19">
        <v>83</v>
      </c>
      <c r="B90" s="20">
        <v>46904</v>
      </c>
      <c r="C90" s="21">
        <f t="shared" si="13"/>
        <v>25397.004838872726</v>
      </c>
      <c r="D90" s="21">
        <f t="shared" si="7"/>
        <v>289.44</v>
      </c>
      <c r="E90" s="21">
        <f t="shared" si="8"/>
        <v>67.30206282301269</v>
      </c>
      <c r="F90" s="21">
        <f t="shared" si="9"/>
        <v>222.13793717698979</v>
      </c>
      <c r="G90" s="29">
        <f t="shared" si="10"/>
        <v>25174.866901695736</v>
      </c>
      <c r="I90" s="23">
        <f t="shared" si="11"/>
        <v>7448.6633820445786</v>
      </c>
      <c r="J90" s="23">
        <f t="shared" si="12"/>
        <v>16574.856617955626</v>
      </c>
    </row>
    <row r="91" spans="1:11" x14ac:dyDescent="0.35">
      <c r="A91" s="19">
        <v>84</v>
      </c>
      <c r="B91" s="20">
        <v>46918</v>
      </c>
      <c r="C91" s="21">
        <f t="shared" si="13"/>
        <v>25174.866901695736</v>
      </c>
      <c r="D91" s="21">
        <f t="shared" si="7"/>
        <v>289.44</v>
      </c>
      <c r="E91" s="21">
        <f t="shared" si="8"/>
        <v>66.71339728949367</v>
      </c>
      <c r="F91" s="21">
        <f t="shared" si="9"/>
        <v>222.72660271050881</v>
      </c>
      <c r="G91" s="29">
        <f t="shared" si="10"/>
        <v>24952.140298985229</v>
      </c>
      <c r="I91" s="23">
        <f t="shared" si="11"/>
        <v>7515.3767793340739</v>
      </c>
      <c r="J91" s="23">
        <f t="shared" si="12"/>
        <v>16797.583220666133</v>
      </c>
    </row>
    <row r="92" spans="1:11" x14ac:dyDescent="0.35">
      <c r="A92" s="19">
        <v>85</v>
      </c>
      <c r="B92" s="20">
        <v>46932</v>
      </c>
      <c r="C92" s="21">
        <f t="shared" si="13"/>
        <v>24952.140298985229</v>
      </c>
      <c r="D92" s="21">
        <f t="shared" si="7"/>
        <v>289.44</v>
      </c>
      <c r="E92" s="21">
        <f t="shared" si="8"/>
        <v>66.123171792310842</v>
      </c>
      <c r="F92" s="21">
        <f t="shared" si="9"/>
        <v>223.31682820769166</v>
      </c>
      <c r="G92" s="29">
        <f t="shared" si="10"/>
        <v>24728.823470777537</v>
      </c>
      <c r="I92" s="23">
        <f t="shared" si="11"/>
        <v>7581.4999511263813</v>
      </c>
      <c r="J92" s="23">
        <f t="shared" si="12"/>
        <v>17020.900048873827</v>
      </c>
    </row>
    <row r="93" spans="1:11" x14ac:dyDescent="0.35">
      <c r="A93" s="19">
        <v>86</v>
      </c>
      <c r="B93" s="20">
        <v>46946</v>
      </c>
      <c r="C93" s="21">
        <f t="shared" si="13"/>
        <v>24728.823470777537</v>
      </c>
      <c r="D93" s="21">
        <f t="shared" si="7"/>
        <v>289.44</v>
      </c>
      <c r="E93" s="21">
        <f t="shared" si="8"/>
        <v>65.531382197560447</v>
      </c>
      <c r="F93" s="21">
        <f t="shared" si="9"/>
        <v>223.90861780244202</v>
      </c>
      <c r="G93" s="29">
        <f t="shared" si="10"/>
        <v>24504.914852975096</v>
      </c>
      <c r="I93" s="23">
        <f t="shared" si="11"/>
        <v>7647.0313333239428</v>
      </c>
      <c r="J93" s="23">
        <f t="shared" si="12"/>
        <v>17244.808666676268</v>
      </c>
    </row>
    <row r="94" spans="1:11" x14ac:dyDescent="0.35">
      <c r="A94" s="19">
        <v>87</v>
      </c>
      <c r="B94" s="20">
        <v>46960</v>
      </c>
      <c r="C94" s="21">
        <f t="shared" si="13"/>
        <v>24504.914852975096</v>
      </c>
      <c r="D94" s="21">
        <f t="shared" si="7"/>
        <v>289.44</v>
      </c>
      <c r="E94" s="21">
        <f t="shared" si="8"/>
        <v>64.938024360383963</v>
      </c>
      <c r="F94" s="21">
        <f t="shared" si="9"/>
        <v>224.50197563961851</v>
      </c>
      <c r="G94" s="29">
        <f t="shared" si="10"/>
        <v>24280.412877335479</v>
      </c>
      <c r="I94" s="23">
        <f t="shared" si="11"/>
        <v>7711.9693576843274</v>
      </c>
      <c r="J94" s="23">
        <f t="shared" si="12"/>
        <v>17469.310642315886</v>
      </c>
    </row>
    <row r="95" spans="1:11" x14ac:dyDescent="0.35">
      <c r="A95" s="19">
        <v>88</v>
      </c>
      <c r="B95" s="20">
        <v>46974</v>
      </c>
      <c r="C95" s="21">
        <f t="shared" si="13"/>
        <v>24280.412877335479</v>
      </c>
      <c r="D95" s="21">
        <f t="shared" si="7"/>
        <v>289.44</v>
      </c>
      <c r="E95" s="21">
        <f t="shared" si="8"/>
        <v>64.343094124938986</v>
      </c>
      <c r="F95" s="21">
        <f t="shared" si="9"/>
        <v>225.0969058750635</v>
      </c>
      <c r="G95" s="29">
        <f t="shared" si="10"/>
        <v>24055.315971460415</v>
      </c>
      <c r="I95" s="23">
        <f t="shared" si="11"/>
        <v>7776.3124518092627</v>
      </c>
      <c r="J95" s="23">
        <f t="shared" si="12"/>
        <v>17694.407548190953</v>
      </c>
    </row>
    <row r="96" spans="1:11" x14ac:dyDescent="0.35">
      <c r="A96" s="19">
        <v>89</v>
      </c>
      <c r="B96" s="20">
        <v>46988</v>
      </c>
      <c r="C96" s="21">
        <f t="shared" si="13"/>
        <v>24055.315971460415</v>
      </c>
      <c r="D96" s="21">
        <f t="shared" si="7"/>
        <v>289.44</v>
      </c>
      <c r="E96" s="21">
        <f t="shared" si="8"/>
        <v>63.746587324370061</v>
      </c>
      <c r="F96" s="21">
        <f t="shared" si="9"/>
        <v>225.6934126756324</v>
      </c>
      <c r="G96" s="29">
        <f t="shared" si="10"/>
        <v>23829.622558784784</v>
      </c>
      <c r="I96" s="23">
        <f t="shared" si="11"/>
        <v>7840.0590391336373</v>
      </c>
      <c r="J96" s="23">
        <f t="shared" si="12"/>
        <v>17920.100960866581</v>
      </c>
    </row>
    <row r="97" spans="1:11" x14ac:dyDescent="0.35">
      <c r="A97" s="19">
        <v>90</v>
      </c>
      <c r="B97" s="20">
        <v>47002</v>
      </c>
      <c r="C97" s="21">
        <f t="shared" si="13"/>
        <v>23829.622558784784</v>
      </c>
      <c r="D97" s="21">
        <f t="shared" si="7"/>
        <v>289.44</v>
      </c>
      <c r="E97" s="21">
        <f t="shared" si="8"/>
        <v>63.148499780779638</v>
      </c>
      <c r="F97" s="21">
        <f t="shared" si="9"/>
        <v>226.29150021922285</v>
      </c>
      <c r="G97" s="29">
        <f t="shared" si="10"/>
        <v>23603.33105856556</v>
      </c>
      <c r="I97" s="23">
        <f t="shared" si="11"/>
        <v>7903.2075389144156</v>
      </c>
      <c r="J97" s="23">
        <f t="shared" si="12"/>
        <v>18146.392461085805</v>
      </c>
    </row>
    <row r="98" spans="1:11" x14ac:dyDescent="0.35">
      <c r="A98" s="19">
        <v>91</v>
      </c>
      <c r="B98" s="20">
        <v>47016</v>
      </c>
      <c r="C98" s="21">
        <f t="shared" si="13"/>
        <v>23603.33105856556</v>
      </c>
      <c r="D98" s="21">
        <f t="shared" si="7"/>
        <v>289.44</v>
      </c>
      <c r="E98" s="21">
        <f t="shared" si="8"/>
        <v>62.548827305198692</v>
      </c>
      <c r="F98" s="21">
        <f t="shared" si="9"/>
        <v>226.89117269480377</v>
      </c>
      <c r="G98" s="29">
        <f t="shared" si="10"/>
        <v>23376.439885870757</v>
      </c>
      <c r="I98" s="23">
        <f t="shared" si="11"/>
        <v>7965.7563662196153</v>
      </c>
      <c r="J98" s="23">
        <f t="shared" si="12"/>
        <v>18373.283633780607</v>
      </c>
    </row>
    <row r="99" spans="1:11" x14ac:dyDescent="0.35">
      <c r="A99" s="19">
        <v>92</v>
      </c>
      <c r="B99" s="20">
        <v>47030</v>
      </c>
      <c r="C99" s="21">
        <f t="shared" si="13"/>
        <v>23376.439885870757</v>
      </c>
      <c r="D99" s="21">
        <f t="shared" si="7"/>
        <v>289.44</v>
      </c>
      <c r="E99" s="21">
        <f t="shared" si="8"/>
        <v>61.947565697557458</v>
      </c>
      <c r="F99" s="21">
        <f t="shared" si="9"/>
        <v>227.49243430244499</v>
      </c>
      <c r="G99" s="29">
        <f t="shared" si="10"/>
        <v>23148.94745156831</v>
      </c>
      <c r="I99" s="23">
        <f t="shared" si="11"/>
        <v>8027.7039319171745</v>
      </c>
      <c r="J99" s="23">
        <f t="shared" si="12"/>
        <v>18600.776068083051</v>
      </c>
    </row>
    <row r="100" spans="1:11" x14ac:dyDescent="0.35">
      <c r="A100" s="19">
        <v>93</v>
      </c>
      <c r="B100" s="20">
        <v>47044</v>
      </c>
      <c r="C100" s="21">
        <f t="shared" si="13"/>
        <v>23148.94745156831</v>
      </c>
      <c r="D100" s="21">
        <f t="shared" si="7"/>
        <v>289.44</v>
      </c>
      <c r="E100" s="21">
        <f t="shared" si="8"/>
        <v>61.344710746655984</v>
      </c>
      <c r="F100" s="21">
        <f t="shared" si="9"/>
        <v>228.09528925334649</v>
      </c>
      <c r="G100" s="29">
        <f t="shared" si="10"/>
        <v>22920.852162314965</v>
      </c>
      <c r="I100" s="23">
        <f t="shared" si="11"/>
        <v>8089.0486426638272</v>
      </c>
      <c r="J100" s="23">
        <f t="shared" si="12"/>
        <v>18828.8713573364</v>
      </c>
    </row>
    <row r="101" spans="1:11" x14ac:dyDescent="0.35">
      <c r="A101" s="19">
        <v>94</v>
      </c>
      <c r="B101" s="20">
        <v>47058</v>
      </c>
      <c r="C101" s="21">
        <f t="shared" si="13"/>
        <v>22920.852162314965</v>
      </c>
      <c r="D101" s="21">
        <f t="shared" si="7"/>
        <v>289.44</v>
      </c>
      <c r="E101" s="21">
        <f t="shared" si="8"/>
        <v>60.740258230134614</v>
      </c>
      <c r="F101" s="21">
        <f t="shared" si="9"/>
        <v>228.69974176986787</v>
      </c>
      <c r="G101" s="29">
        <f t="shared" si="10"/>
        <v>22692.152420545095</v>
      </c>
      <c r="I101" s="23">
        <f t="shared" si="11"/>
        <v>8149.7889008939637</v>
      </c>
      <c r="J101" s="23">
        <f t="shared" si="12"/>
        <v>19057.571099106266</v>
      </c>
    </row>
    <row r="102" spans="1:11" x14ac:dyDescent="0.35">
      <c r="A102" s="19">
        <v>95</v>
      </c>
      <c r="B102" s="20">
        <v>47072</v>
      </c>
      <c r="C102" s="21">
        <f t="shared" si="13"/>
        <v>22692.152420545095</v>
      </c>
      <c r="D102" s="21">
        <f t="shared" si="7"/>
        <v>289.44</v>
      </c>
      <c r="E102" s="21">
        <f t="shared" si="8"/>
        <v>60.13420391444447</v>
      </c>
      <c r="F102" s="21">
        <f t="shared" si="9"/>
        <v>229.305796085558</v>
      </c>
      <c r="G102" s="29">
        <f t="shared" si="10"/>
        <v>22462.846624459537</v>
      </c>
      <c r="I102" s="23">
        <f t="shared" si="11"/>
        <v>8209.9231048084039</v>
      </c>
      <c r="J102" s="23">
        <f t="shared" si="12"/>
        <v>19286.876895191828</v>
      </c>
    </row>
    <row r="103" spans="1:11" x14ac:dyDescent="0.35">
      <c r="A103" s="19">
        <v>96</v>
      </c>
      <c r="B103" s="20">
        <v>47086</v>
      </c>
      <c r="C103" s="21">
        <f t="shared" si="13"/>
        <v>22462.846624459537</v>
      </c>
      <c r="D103" s="21">
        <f t="shared" si="7"/>
        <v>289.44</v>
      </c>
      <c r="E103" s="21">
        <f t="shared" si="8"/>
        <v>59.526543554817735</v>
      </c>
      <c r="F103" s="21">
        <f t="shared" si="9"/>
        <v>229.91345644518475</v>
      </c>
      <c r="G103" s="29">
        <f t="shared" si="10"/>
        <v>22232.933168014351</v>
      </c>
      <c r="I103" s="23">
        <f t="shared" si="11"/>
        <v>8269.4496483632211</v>
      </c>
      <c r="J103" s="23">
        <f t="shared" si="12"/>
        <v>19516.790351637013</v>
      </c>
    </row>
    <row r="104" spans="1:11" x14ac:dyDescent="0.35">
      <c r="A104" s="19">
        <v>97</v>
      </c>
      <c r="B104" s="20">
        <v>47100</v>
      </c>
      <c r="C104" s="21">
        <f t="shared" si="13"/>
        <v>22232.933168014351</v>
      </c>
      <c r="D104" s="21">
        <f t="shared" si="7"/>
        <v>289.44</v>
      </c>
      <c r="E104" s="21">
        <f t="shared" si="8"/>
        <v>58.917272895237993</v>
      </c>
      <c r="F104" s="21">
        <f t="shared" si="9"/>
        <v>230.52272710476447</v>
      </c>
      <c r="G104" s="29">
        <f t="shared" si="10"/>
        <v>22002.410440909585</v>
      </c>
      <c r="I104" s="23">
        <f t="shared" si="11"/>
        <v>8328.3669212584609</v>
      </c>
      <c r="J104" s="23">
        <f t="shared" si="12"/>
        <v>19747.313078741776</v>
      </c>
    </row>
    <row r="105" spans="1:11" x14ac:dyDescent="0.35">
      <c r="A105" s="19">
        <v>98</v>
      </c>
      <c r="B105" s="20">
        <v>47114</v>
      </c>
      <c r="C105" s="21">
        <f t="shared" si="13"/>
        <v>22002.410440909585</v>
      </c>
      <c r="D105" s="21">
        <f t="shared" si="7"/>
        <v>289.44</v>
      </c>
      <c r="E105" s="21">
        <f t="shared" si="8"/>
        <v>58.306387668410373</v>
      </c>
      <c r="F105" s="21">
        <f t="shared" si="9"/>
        <v>231.1336123315921</v>
      </c>
      <c r="G105" s="29">
        <f t="shared" si="10"/>
        <v>21771.276828577993</v>
      </c>
      <c r="I105" s="23">
        <f t="shared" si="11"/>
        <v>8386.673308926871</v>
      </c>
      <c r="J105" s="23">
        <f t="shared" si="12"/>
        <v>19978.446691073368</v>
      </c>
    </row>
    <row r="106" spans="1:11" x14ac:dyDescent="0.35">
      <c r="A106" s="19">
        <v>99</v>
      </c>
      <c r="B106" s="20">
        <v>47128</v>
      </c>
      <c r="C106" s="21">
        <f t="shared" si="13"/>
        <v>21771.276828577993</v>
      </c>
      <c r="D106" s="21">
        <f t="shared" si="7"/>
        <v>289.44</v>
      </c>
      <c r="E106" s="21">
        <f t="shared" si="8"/>
        <v>57.693883595731656</v>
      </c>
      <c r="F106" s="21">
        <f t="shared" si="9"/>
        <v>231.74611640427079</v>
      </c>
      <c r="G106" s="29">
        <f t="shared" si="10"/>
        <v>21539.530712173721</v>
      </c>
      <c r="I106" s="23">
        <f t="shared" si="11"/>
        <v>8444.3671925226045</v>
      </c>
      <c r="J106" s="23">
        <f t="shared" si="12"/>
        <v>20210.192807477637</v>
      </c>
    </row>
    <row r="107" spans="1:11" x14ac:dyDescent="0.35">
      <c r="A107" s="19">
        <v>100</v>
      </c>
      <c r="B107" s="20">
        <v>47142</v>
      </c>
      <c r="C107" s="21">
        <f t="shared" si="13"/>
        <v>21539.530712173721</v>
      </c>
      <c r="D107" s="21">
        <f t="shared" si="7"/>
        <v>289.44</v>
      </c>
      <c r="E107" s="21">
        <f t="shared" si="8"/>
        <v>57.079756387260332</v>
      </c>
      <c r="F107" s="21">
        <f t="shared" si="9"/>
        <v>232.36024361274212</v>
      </c>
      <c r="G107" s="29">
        <f t="shared" si="10"/>
        <v>21307.17046856098</v>
      </c>
      <c r="I107" s="23">
        <f t="shared" si="11"/>
        <v>8501.4469489098665</v>
      </c>
      <c r="J107" s="23">
        <f t="shared" si="12"/>
        <v>20442.553051090377</v>
      </c>
    </row>
    <row r="108" spans="1:11" x14ac:dyDescent="0.35">
      <c r="A108" s="19">
        <v>101</v>
      </c>
      <c r="B108" s="20">
        <v>47156</v>
      </c>
      <c r="C108" s="21">
        <f t="shared" si="13"/>
        <v>21307.17046856098</v>
      </c>
      <c r="D108" s="21">
        <f t="shared" si="7"/>
        <v>289.44</v>
      </c>
      <c r="E108" s="21">
        <f t="shared" si="8"/>
        <v>56.464001741686566</v>
      </c>
      <c r="F108" s="21">
        <f t="shared" si="9"/>
        <v>232.97599825831588</v>
      </c>
      <c r="G108" s="29">
        <f t="shared" si="10"/>
        <v>21074.194470302664</v>
      </c>
      <c r="I108" s="23">
        <f t="shared" si="11"/>
        <v>8557.9109506515451</v>
      </c>
      <c r="J108" s="23">
        <f t="shared" si="12"/>
        <v>20675.529049348701</v>
      </c>
    </row>
    <row r="109" spans="1:11" x14ac:dyDescent="0.35">
      <c r="A109" s="19">
        <v>102</v>
      </c>
      <c r="B109" s="20">
        <v>47170</v>
      </c>
      <c r="C109" s="21">
        <f t="shared" si="13"/>
        <v>21074.194470302664</v>
      </c>
      <c r="D109" s="21">
        <f t="shared" si="7"/>
        <v>289.44</v>
      </c>
      <c r="E109" s="21">
        <f t="shared" si="8"/>
        <v>55.846615346302023</v>
      </c>
      <c r="F109" s="21">
        <f t="shared" si="9"/>
        <v>233.59338465370044</v>
      </c>
      <c r="G109" s="29">
        <f t="shared" si="10"/>
        <v>20840.601085648963</v>
      </c>
      <c r="I109" s="23">
        <f t="shared" si="11"/>
        <v>8613.7575659978502</v>
      </c>
      <c r="J109" s="23">
        <f t="shared" si="12"/>
        <v>20909.122434002398</v>
      </c>
    </row>
    <row r="110" spans="1:11" x14ac:dyDescent="0.35">
      <c r="A110" s="19">
        <v>103</v>
      </c>
      <c r="B110" s="20">
        <v>47184</v>
      </c>
      <c r="C110" s="21">
        <f t="shared" si="13"/>
        <v>20840.601085648963</v>
      </c>
      <c r="D110" s="21">
        <f t="shared" si="7"/>
        <v>289.44</v>
      </c>
      <c r="E110" s="21">
        <f t="shared" si="8"/>
        <v>55.22759287696973</v>
      </c>
      <c r="F110" s="21">
        <f t="shared" si="9"/>
        <v>234.21240712303273</v>
      </c>
      <c r="G110" s="29">
        <f t="shared" si="10"/>
        <v>20606.388678525931</v>
      </c>
      <c r="I110" s="23">
        <f t="shared" si="11"/>
        <v>8668.9851588748243</v>
      </c>
      <c r="J110" s="23">
        <f t="shared" si="12"/>
        <v>21143.334841125426</v>
      </c>
    </row>
    <row r="111" spans="1:11" x14ac:dyDescent="0.35">
      <c r="A111" s="25">
        <v>104</v>
      </c>
      <c r="B111" s="26">
        <v>47198</v>
      </c>
      <c r="C111" s="22">
        <f t="shared" si="13"/>
        <v>20606.388678525931</v>
      </c>
      <c r="D111" s="22">
        <f t="shared" si="7"/>
        <v>289.44</v>
      </c>
      <c r="E111" s="22">
        <f t="shared" si="8"/>
        <v>54.60692999809369</v>
      </c>
      <c r="F111" s="22">
        <f t="shared" si="9"/>
        <v>234.83307000190877</v>
      </c>
      <c r="G111" s="22">
        <f t="shared" si="10"/>
        <v>20371.55560852402</v>
      </c>
      <c r="H111" s="27"/>
      <c r="I111" s="28">
        <f t="shared" si="11"/>
        <v>8723.5920888729124</v>
      </c>
      <c r="J111" s="28">
        <f t="shared" si="12"/>
        <v>21378.167911127341</v>
      </c>
      <c r="K111" s="3">
        <v>4</v>
      </c>
    </row>
    <row r="112" spans="1:11" x14ac:dyDescent="0.35">
      <c r="A112" s="19">
        <v>105</v>
      </c>
      <c r="B112" s="20">
        <v>47212</v>
      </c>
      <c r="C112" s="21">
        <f t="shared" si="13"/>
        <v>20371.55560852402</v>
      </c>
      <c r="D112" s="21">
        <f t="shared" si="7"/>
        <v>289.44</v>
      </c>
      <c r="E112" s="21">
        <f t="shared" si="8"/>
        <v>53.984622362588638</v>
      </c>
      <c r="F112" s="21">
        <f t="shared" si="9"/>
        <v>235.45537763741385</v>
      </c>
      <c r="G112" s="29">
        <f t="shared" si="10"/>
        <v>20136.100230886608</v>
      </c>
      <c r="I112" s="23">
        <f t="shared" si="11"/>
        <v>8777.5767112354988</v>
      </c>
      <c r="J112" s="23">
        <f t="shared" si="12"/>
        <v>21613.623288764757</v>
      </c>
    </row>
    <row r="113" spans="1:10" x14ac:dyDescent="0.35">
      <c r="A113" s="19">
        <v>106</v>
      </c>
      <c r="B113" s="20">
        <v>47226</v>
      </c>
      <c r="C113" s="21">
        <f t="shared" si="13"/>
        <v>20136.100230886608</v>
      </c>
      <c r="D113" s="21">
        <f t="shared" si="7"/>
        <v>289.44</v>
      </c>
      <c r="E113" s="21">
        <f t="shared" si="8"/>
        <v>53.360665611849491</v>
      </c>
      <c r="F113" s="21">
        <f t="shared" si="9"/>
        <v>236.07933438815297</v>
      </c>
      <c r="G113" s="29">
        <f t="shared" si="10"/>
        <v>19900.020896498456</v>
      </c>
      <c r="I113" s="23">
        <f t="shared" si="11"/>
        <v>8830.9373768473524</v>
      </c>
      <c r="J113" s="23">
        <f t="shared" si="12"/>
        <v>21849.702623152905</v>
      </c>
    </row>
    <row r="114" spans="1:10" x14ac:dyDescent="0.35">
      <c r="A114" s="19">
        <v>107</v>
      </c>
      <c r="B114" s="20">
        <v>47240</v>
      </c>
      <c r="C114" s="21">
        <f t="shared" si="13"/>
        <v>19900.020896498456</v>
      </c>
      <c r="D114" s="21">
        <f t="shared" si="7"/>
        <v>289.44</v>
      </c>
      <c r="E114" s="21">
        <f t="shared" si="8"/>
        <v>52.735055375720869</v>
      </c>
      <c r="F114" s="21">
        <f t="shared" si="9"/>
        <v>236.70494462428158</v>
      </c>
      <c r="G114" s="29">
        <f t="shared" si="10"/>
        <v>19663.315951874174</v>
      </c>
      <c r="I114" s="23">
        <f t="shared" si="11"/>
        <v>8883.672432223073</v>
      </c>
      <c r="J114" s="23">
        <f t="shared" si="12"/>
        <v>22086.407567777187</v>
      </c>
    </row>
    <row r="115" spans="1:10" x14ac:dyDescent="0.35">
      <c r="A115" s="19">
        <v>108</v>
      </c>
      <c r="B115" s="20">
        <v>47254</v>
      </c>
      <c r="C115" s="21">
        <f t="shared" si="13"/>
        <v>19663.315951874174</v>
      </c>
      <c r="D115" s="21">
        <f t="shared" si="7"/>
        <v>289.44</v>
      </c>
      <c r="E115" s="21">
        <f t="shared" si="8"/>
        <v>52.107787272466531</v>
      </c>
      <c r="F115" s="21">
        <f t="shared" si="9"/>
        <v>237.3322127275359</v>
      </c>
      <c r="G115" s="29">
        <f t="shared" si="10"/>
        <v>19425.983739146639</v>
      </c>
      <c r="I115" s="23">
        <f t="shared" si="11"/>
        <v>8935.7802194955402</v>
      </c>
      <c r="J115" s="23">
        <f t="shared" si="12"/>
        <v>22323.739780504722</v>
      </c>
    </row>
    <row r="116" spans="1:10" x14ac:dyDescent="0.35">
      <c r="A116" s="19">
        <v>109</v>
      </c>
      <c r="B116" s="20">
        <v>47268</v>
      </c>
      <c r="C116" s="21">
        <f t="shared" si="13"/>
        <v>19425.983739146639</v>
      </c>
      <c r="D116" s="21">
        <f t="shared" si="7"/>
        <v>289.44</v>
      </c>
      <c r="E116" s="21">
        <f t="shared" si="8"/>
        <v>51.478856908738564</v>
      </c>
      <c r="F116" s="21">
        <f t="shared" si="9"/>
        <v>237.96114309126389</v>
      </c>
      <c r="G116" s="29">
        <f t="shared" si="10"/>
        <v>19188.022596055376</v>
      </c>
      <c r="I116" s="23">
        <f t="shared" si="11"/>
        <v>8987.2590764042798</v>
      </c>
      <c r="J116" s="23">
        <f t="shared" si="12"/>
        <v>22561.700923595985</v>
      </c>
    </row>
    <row r="117" spans="1:10" x14ac:dyDescent="0.35">
      <c r="A117" s="19">
        <v>110</v>
      </c>
      <c r="B117" s="20">
        <v>47282</v>
      </c>
      <c r="C117" s="21">
        <f t="shared" si="13"/>
        <v>19188.022596055376</v>
      </c>
      <c r="D117" s="21">
        <f t="shared" si="7"/>
        <v>289.44</v>
      </c>
      <c r="E117" s="21">
        <f t="shared" si="8"/>
        <v>50.84825987954671</v>
      </c>
      <c r="F117" s="21">
        <f t="shared" si="9"/>
        <v>238.5917401204558</v>
      </c>
      <c r="G117" s="29">
        <f t="shared" si="10"/>
        <v>18949.430855934919</v>
      </c>
      <c r="I117" s="23">
        <f t="shared" si="11"/>
        <v>9038.1073362838251</v>
      </c>
      <c r="J117" s="23">
        <f t="shared" si="12"/>
        <v>22800.292663716442</v>
      </c>
    </row>
    <row r="118" spans="1:10" x14ac:dyDescent="0.35">
      <c r="A118" s="19">
        <v>111</v>
      </c>
      <c r="B118" s="20">
        <v>47296</v>
      </c>
      <c r="C118" s="21">
        <f t="shared" si="13"/>
        <v>18949.430855934919</v>
      </c>
      <c r="D118" s="21">
        <f t="shared" si="7"/>
        <v>289.44</v>
      </c>
      <c r="E118" s="21">
        <f t="shared" si="8"/>
        <v>50.215991768227497</v>
      </c>
      <c r="F118" s="21">
        <f t="shared" si="9"/>
        <v>239.22400823177495</v>
      </c>
      <c r="G118" s="29">
        <f t="shared" si="10"/>
        <v>18710.206847703143</v>
      </c>
      <c r="I118" s="23">
        <f t="shared" si="11"/>
        <v>9088.3233280520544</v>
      </c>
      <c r="J118" s="23">
        <f t="shared" si="12"/>
        <v>23039.516671948215</v>
      </c>
    </row>
    <row r="119" spans="1:10" x14ac:dyDescent="0.35">
      <c r="A119" s="19">
        <v>112</v>
      </c>
      <c r="B119" s="20">
        <v>47310</v>
      </c>
      <c r="C119" s="21">
        <f t="shared" si="13"/>
        <v>18710.206847703143</v>
      </c>
      <c r="D119" s="21">
        <f t="shared" si="7"/>
        <v>289.44</v>
      </c>
      <c r="E119" s="21">
        <f t="shared" si="8"/>
        <v>49.582048146413307</v>
      </c>
      <c r="F119" s="21">
        <f t="shared" si="9"/>
        <v>239.85795185358919</v>
      </c>
      <c r="G119" s="29">
        <f t="shared" si="10"/>
        <v>18470.348895849555</v>
      </c>
      <c r="I119" s="23">
        <f t="shared" si="11"/>
        <v>9137.9053761984687</v>
      </c>
      <c r="J119" s="23">
        <f t="shared" si="12"/>
        <v>23279.374623801807</v>
      </c>
    </row>
    <row r="120" spans="1:10" x14ac:dyDescent="0.35">
      <c r="A120" s="19">
        <v>113</v>
      </c>
      <c r="B120" s="20">
        <v>47324</v>
      </c>
      <c r="C120" s="21">
        <f t="shared" si="13"/>
        <v>18470.348895849555</v>
      </c>
      <c r="D120" s="21">
        <f t="shared" si="7"/>
        <v>289.44</v>
      </c>
      <c r="E120" s="21">
        <f t="shared" si="8"/>
        <v>48.946424574001291</v>
      </c>
      <c r="F120" s="21">
        <f t="shared" si="9"/>
        <v>240.49357542600117</v>
      </c>
      <c r="G120" s="29">
        <f t="shared" si="10"/>
        <v>18229.855320423554</v>
      </c>
      <c r="I120" s="23">
        <f t="shared" si="11"/>
        <v>9186.8518007724706</v>
      </c>
      <c r="J120" s="23">
        <f t="shared" si="12"/>
        <v>23519.868199227807</v>
      </c>
    </row>
    <row r="121" spans="1:10" x14ac:dyDescent="0.35">
      <c r="A121" s="19">
        <v>114</v>
      </c>
      <c r="B121" s="20">
        <v>47338</v>
      </c>
      <c r="C121" s="21">
        <f t="shared" si="13"/>
        <v>18229.855320423554</v>
      </c>
      <c r="D121" s="21">
        <f t="shared" si="7"/>
        <v>289.44</v>
      </c>
      <c r="E121" s="21">
        <f t="shared" si="8"/>
        <v>48.30911659912239</v>
      </c>
      <c r="F121" s="21">
        <f t="shared" si="9"/>
        <v>241.13088340088009</v>
      </c>
      <c r="G121" s="29">
        <f t="shared" si="10"/>
        <v>17988.724437022673</v>
      </c>
      <c r="I121" s="23">
        <f t="shared" si="11"/>
        <v>9235.1609173715915</v>
      </c>
      <c r="J121" s="23">
        <f t="shared" si="12"/>
        <v>23760.999082628688</v>
      </c>
    </row>
    <row r="122" spans="1:10" x14ac:dyDescent="0.35">
      <c r="A122" s="19">
        <v>115</v>
      </c>
      <c r="B122" s="20">
        <v>47352</v>
      </c>
      <c r="C122" s="21">
        <f t="shared" si="13"/>
        <v>17988.724437022673</v>
      </c>
      <c r="D122" s="21">
        <f t="shared" si="7"/>
        <v>289.44</v>
      </c>
      <c r="E122" s="21">
        <f t="shared" si="8"/>
        <v>47.670119758110054</v>
      </c>
      <c r="F122" s="21">
        <f t="shared" si="9"/>
        <v>241.76988024189239</v>
      </c>
      <c r="G122" s="29">
        <f t="shared" si="10"/>
        <v>17746.95455678078</v>
      </c>
      <c r="I122" s="23">
        <f t="shared" si="11"/>
        <v>9282.8310371297011</v>
      </c>
      <c r="J122" s="23">
        <f t="shared" si="12"/>
        <v>24002.768962870581</v>
      </c>
    </row>
    <row r="123" spans="1:10" x14ac:dyDescent="0.35">
      <c r="A123" s="19">
        <v>116</v>
      </c>
      <c r="B123" s="20">
        <v>47366</v>
      </c>
      <c r="C123" s="21">
        <f t="shared" si="13"/>
        <v>17746.95455678078</v>
      </c>
      <c r="D123" s="21">
        <f t="shared" si="7"/>
        <v>289.44</v>
      </c>
      <c r="E123" s="21">
        <f t="shared" si="8"/>
        <v>47.029429575469038</v>
      </c>
      <c r="F123" s="21">
        <f t="shared" si="9"/>
        <v>242.41057042453343</v>
      </c>
      <c r="G123" s="29">
        <f t="shared" si="10"/>
        <v>17504.543986356246</v>
      </c>
      <c r="I123" s="23">
        <f t="shared" si="11"/>
        <v>9329.8604667051695</v>
      </c>
      <c r="J123" s="23">
        <f t="shared" si="12"/>
        <v>24245.179533295115</v>
      </c>
    </row>
    <row r="124" spans="1:10" x14ac:dyDescent="0.35">
      <c r="A124" s="19">
        <v>117</v>
      </c>
      <c r="B124" s="20">
        <v>47380</v>
      </c>
      <c r="C124" s="21">
        <f t="shared" si="13"/>
        <v>17504.543986356246</v>
      </c>
      <c r="D124" s="21">
        <f t="shared" si="7"/>
        <v>289.44</v>
      </c>
      <c r="E124" s="21">
        <f t="shared" si="8"/>
        <v>46.387041563844022</v>
      </c>
      <c r="F124" s="21">
        <f t="shared" si="9"/>
        <v>243.05295843615843</v>
      </c>
      <c r="G124" s="29">
        <f t="shared" si="10"/>
        <v>17261.491027920089</v>
      </c>
      <c r="I124" s="23">
        <f t="shared" si="11"/>
        <v>9376.2475082690144</v>
      </c>
      <c r="J124" s="23">
        <f t="shared" si="12"/>
        <v>24488.232491731273</v>
      </c>
    </row>
    <row r="125" spans="1:10" x14ac:dyDescent="0.35">
      <c r="A125" s="19">
        <v>118</v>
      </c>
      <c r="B125" s="20">
        <v>47394</v>
      </c>
      <c r="C125" s="21">
        <f t="shared" si="13"/>
        <v>17261.491027920089</v>
      </c>
      <c r="D125" s="21">
        <f t="shared" si="7"/>
        <v>289.44</v>
      </c>
      <c r="E125" s="21">
        <f t="shared" si="8"/>
        <v>45.742951223988214</v>
      </c>
      <c r="F125" s="21">
        <f t="shared" si="9"/>
        <v>243.69704877601424</v>
      </c>
      <c r="G125" s="29">
        <f t="shared" si="10"/>
        <v>17017.793979144073</v>
      </c>
      <c r="I125" s="23">
        <f t="shared" si="11"/>
        <v>9421.9904594930049</v>
      </c>
      <c r="J125" s="23">
        <f t="shared" si="12"/>
        <v>24731.929540507284</v>
      </c>
    </row>
    <row r="126" spans="1:10" x14ac:dyDescent="0.35">
      <c r="A126" s="19">
        <v>119</v>
      </c>
      <c r="B126" s="20">
        <v>47408</v>
      </c>
      <c r="C126" s="21">
        <f t="shared" si="13"/>
        <v>17017.793979144073</v>
      </c>
      <c r="D126" s="21">
        <f t="shared" si="7"/>
        <v>289.44</v>
      </c>
      <c r="E126" s="21">
        <f t="shared" si="8"/>
        <v>45.097154044731766</v>
      </c>
      <c r="F126" s="21">
        <f t="shared" si="9"/>
        <v>244.34284595527072</v>
      </c>
      <c r="G126" s="29">
        <f t="shared" si="10"/>
        <v>16773.451133188802</v>
      </c>
      <c r="I126" s="23">
        <f t="shared" si="11"/>
        <v>9467.087613537733</v>
      </c>
      <c r="J126" s="23">
        <f t="shared" si="12"/>
        <v>24976.272386462559</v>
      </c>
    </row>
    <row r="127" spans="1:10" x14ac:dyDescent="0.35">
      <c r="A127" s="19">
        <v>120</v>
      </c>
      <c r="B127" s="20">
        <v>47422</v>
      </c>
      <c r="C127" s="21">
        <f t="shared" si="13"/>
        <v>16773.451133188802</v>
      </c>
      <c r="D127" s="21">
        <f t="shared" si="7"/>
        <v>289.44</v>
      </c>
      <c r="E127" s="21">
        <f t="shared" si="8"/>
        <v>44.449645502950311</v>
      </c>
      <c r="F127" s="21">
        <f t="shared" si="9"/>
        <v>244.99035449705218</v>
      </c>
      <c r="G127" s="29">
        <f t="shared" si="10"/>
        <v>16528.460778691751</v>
      </c>
      <c r="I127" s="23">
        <f t="shared" si="11"/>
        <v>9511.5372590406805</v>
      </c>
      <c r="J127" s="23">
        <f t="shared" si="12"/>
        <v>25221.262740959613</v>
      </c>
    </row>
    <row r="128" spans="1:10" x14ac:dyDescent="0.35">
      <c r="A128" s="19">
        <v>121</v>
      </c>
      <c r="B128" s="20">
        <v>47436</v>
      </c>
      <c r="C128" s="21">
        <f t="shared" si="13"/>
        <v>16528.460778691751</v>
      </c>
      <c r="D128" s="21">
        <f t="shared" si="7"/>
        <v>289.44</v>
      </c>
      <c r="E128" s="21">
        <f t="shared" si="8"/>
        <v>43.800421063533115</v>
      </c>
      <c r="F128" s="21">
        <f t="shared" si="9"/>
        <v>245.63957893646932</v>
      </c>
      <c r="G128" s="29">
        <f t="shared" si="10"/>
        <v>16282.821199755283</v>
      </c>
      <c r="I128" s="23">
        <f t="shared" si="11"/>
        <v>9555.3376801042177</v>
      </c>
      <c r="J128" s="23">
        <f t="shared" si="12"/>
        <v>25466.902319896079</v>
      </c>
    </row>
    <row r="129" spans="1:11" x14ac:dyDescent="0.35">
      <c r="A129" s="19">
        <v>122</v>
      </c>
      <c r="B129" s="20">
        <v>47450</v>
      </c>
      <c r="C129" s="21">
        <f t="shared" si="13"/>
        <v>16282.821199755283</v>
      </c>
      <c r="D129" s="21">
        <f t="shared" si="7"/>
        <v>289.44</v>
      </c>
      <c r="E129" s="21">
        <f t="shared" si="8"/>
        <v>43.149476179351467</v>
      </c>
      <c r="F129" s="21">
        <f t="shared" si="9"/>
        <v>246.290523820651</v>
      </c>
      <c r="G129" s="29">
        <f t="shared" si="10"/>
        <v>16036.530675934631</v>
      </c>
      <c r="I129" s="23">
        <f t="shared" si="11"/>
        <v>9598.4871562835688</v>
      </c>
      <c r="J129" s="23">
        <f t="shared" si="12"/>
        <v>25713.19284371673</v>
      </c>
    </row>
    <row r="130" spans="1:11" x14ac:dyDescent="0.35">
      <c r="A130" s="19">
        <v>123</v>
      </c>
      <c r="B130" s="20">
        <v>47464</v>
      </c>
      <c r="C130" s="21">
        <f t="shared" si="13"/>
        <v>16036.530675934631</v>
      </c>
      <c r="D130" s="21">
        <f t="shared" si="7"/>
        <v>289.44</v>
      </c>
      <c r="E130" s="21">
        <f t="shared" si="8"/>
        <v>42.496806291226747</v>
      </c>
      <c r="F130" s="21">
        <f t="shared" si="9"/>
        <v>246.94319370877571</v>
      </c>
      <c r="G130" s="29">
        <f t="shared" si="10"/>
        <v>15789.587482225856</v>
      </c>
      <c r="I130" s="23">
        <f t="shared" si="11"/>
        <v>9640.9839625748027</v>
      </c>
      <c r="J130" s="23">
        <f t="shared" si="12"/>
        <v>25960.136037425498</v>
      </c>
    </row>
    <row r="131" spans="1:11" x14ac:dyDescent="0.35">
      <c r="A131" s="19">
        <v>124</v>
      </c>
      <c r="B131" s="20">
        <v>47478</v>
      </c>
      <c r="C131" s="21">
        <f t="shared" si="13"/>
        <v>15789.587482225856</v>
      </c>
      <c r="D131" s="21">
        <f t="shared" si="7"/>
        <v>289.44</v>
      </c>
      <c r="E131" s="21">
        <f t="shared" si="8"/>
        <v>41.842406827898486</v>
      </c>
      <c r="F131" s="21">
        <f t="shared" si="9"/>
        <v>247.59759317210396</v>
      </c>
      <c r="G131" s="29">
        <f t="shared" si="10"/>
        <v>15541.989889053752</v>
      </c>
      <c r="I131" s="23">
        <f t="shared" si="11"/>
        <v>9682.8263694026937</v>
      </c>
      <c r="J131" s="23">
        <f t="shared" si="12"/>
        <v>26207.73363059761</v>
      </c>
    </row>
    <row r="132" spans="1:11" x14ac:dyDescent="0.35">
      <c r="A132" s="19">
        <v>125</v>
      </c>
      <c r="B132" s="20">
        <v>47492</v>
      </c>
      <c r="C132" s="21">
        <f t="shared" si="13"/>
        <v>15541.989889053752</v>
      </c>
      <c r="D132" s="21">
        <f t="shared" si="7"/>
        <v>289.44</v>
      </c>
      <c r="E132" s="21">
        <f t="shared" si="8"/>
        <v>41.186273205992414</v>
      </c>
      <c r="F132" s="21">
        <f t="shared" si="9"/>
        <v>248.25372679401008</v>
      </c>
      <c r="G132" s="29">
        <f t="shared" si="10"/>
        <v>15293.736162259742</v>
      </c>
      <c r="I132" s="23">
        <f t="shared" si="11"/>
        <v>9724.0126426086863</v>
      </c>
      <c r="J132" s="23">
        <f t="shared" si="12"/>
        <v>26455.987357391619</v>
      </c>
    </row>
    <row r="133" spans="1:11" x14ac:dyDescent="0.35">
      <c r="A133" s="19">
        <v>126</v>
      </c>
      <c r="B133" s="20">
        <v>47506</v>
      </c>
      <c r="C133" s="21">
        <f t="shared" si="13"/>
        <v>15293.736162259742</v>
      </c>
      <c r="D133" s="21">
        <f t="shared" si="7"/>
        <v>289.44</v>
      </c>
      <c r="E133" s="21">
        <f t="shared" si="8"/>
        <v>40.528400829988293</v>
      </c>
      <c r="F133" s="21">
        <f t="shared" si="9"/>
        <v>248.91159917001417</v>
      </c>
      <c r="G133" s="29">
        <f t="shared" si="10"/>
        <v>15044.824563089727</v>
      </c>
      <c r="I133" s="23">
        <f t="shared" si="11"/>
        <v>9764.5410434386795</v>
      </c>
      <c r="J133" s="23">
        <f t="shared" si="12"/>
        <v>26704.898956561628</v>
      </c>
    </row>
    <row r="134" spans="1:11" x14ac:dyDescent="0.35">
      <c r="A134" s="19">
        <v>127</v>
      </c>
      <c r="B134" s="20">
        <v>47520</v>
      </c>
      <c r="C134" s="21">
        <f t="shared" si="13"/>
        <v>15044.824563089727</v>
      </c>
      <c r="D134" s="21">
        <f t="shared" si="7"/>
        <v>289.44</v>
      </c>
      <c r="E134" s="21">
        <f t="shared" si="8"/>
        <v>39.86878509218775</v>
      </c>
      <c r="F134" s="21">
        <f t="shared" si="9"/>
        <v>249.57121490781472</v>
      </c>
      <c r="G134" s="29">
        <f t="shared" si="10"/>
        <v>14795.253348181912</v>
      </c>
      <c r="I134" s="23">
        <f t="shared" si="11"/>
        <v>9804.4098285308573</v>
      </c>
      <c r="J134" s="23">
        <f t="shared" si="12"/>
        <v>26954.470171469453</v>
      </c>
    </row>
    <row r="135" spans="1:11" x14ac:dyDescent="0.35">
      <c r="A135" s="19">
        <v>128</v>
      </c>
      <c r="B135" s="20">
        <v>47534</v>
      </c>
      <c r="C135" s="21">
        <f t="shared" si="13"/>
        <v>14795.253348181912</v>
      </c>
      <c r="D135" s="21">
        <f t="shared" si="7"/>
        <v>289.44</v>
      </c>
      <c r="E135" s="21">
        <f t="shared" si="8"/>
        <v>39.207421372682049</v>
      </c>
      <c r="F135" s="21">
        <f t="shared" si="9"/>
        <v>250.23257862732044</v>
      </c>
      <c r="G135" s="29">
        <f t="shared" si="10"/>
        <v>14545.020769554591</v>
      </c>
      <c r="I135" s="23">
        <f t="shared" si="11"/>
        <v>9843.6172499035456</v>
      </c>
      <c r="J135" s="23">
        <f t="shared" si="12"/>
        <v>27204.702750096767</v>
      </c>
    </row>
    <row r="136" spans="1:11" x14ac:dyDescent="0.35">
      <c r="A136" s="19">
        <v>129</v>
      </c>
      <c r="B136" s="20">
        <v>47548</v>
      </c>
      <c r="C136" s="21">
        <f t="shared" si="13"/>
        <v>14545.020769554591</v>
      </c>
      <c r="D136" s="21">
        <f t="shared" ref="D136:D189" si="14">B$2</f>
        <v>289.44</v>
      </c>
      <c r="E136" s="21">
        <f t="shared" ref="E136:E189" si="15">-IPMT(E$3,A136,E$4,E$2)</f>
        <v>38.544305039319646</v>
      </c>
      <c r="F136" s="21">
        <f t="shared" ref="F136:F189" si="16">-PPMT(E$3,A136,E$4,E$2)</f>
        <v>250.89569496068282</v>
      </c>
      <c r="G136" s="29">
        <f t="shared" ref="G136:G189" si="17">C136-F136</f>
        <v>14294.125074593907</v>
      </c>
      <c r="I136" s="23">
        <f t="shared" ref="I136:I189" si="18">-CUMIPMT(E$3,E$4,E$2,A$8,A136,0)</f>
        <v>9882.161554942857</v>
      </c>
      <c r="J136" s="23">
        <f t="shared" ref="J136:J189" si="19">-CUMPRINC(E$3,E$4,E$2,A$8,A136,0)</f>
        <v>27455.598445057458</v>
      </c>
    </row>
    <row r="137" spans="1:11" x14ac:dyDescent="0.35">
      <c r="A137" s="25">
        <v>130</v>
      </c>
      <c r="B137" s="26">
        <v>47562</v>
      </c>
      <c r="C137" s="22">
        <f t="shared" ref="C137:C190" si="20">G136</f>
        <v>14294.125074593907</v>
      </c>
      <c r="D137" s="22">
        <f t="shared" si="14"/>
        <v>289.44</v>
      </c>
      <c r="E137" s="22">
        <f t="shared" si="15"/>
        <v>37.879431447673831</v>
      </c>
      <c r="F137" s="22">
        <f t="shared" si="16"/>
        <v>251.56056855232865</v>
      </c>
      <c r="G137" s="22">
        <f t="shared" si="17"/>
        <v>14042.564506041579</v>
      </c>
      <c r="H137" s="27"/>
      <c r="I137" s="28">
        <f t="shared" si="18"/>
        <v>9920.040986390537</v>
      </c>
      <c r="J137" s="28">
        <f t="shared" si="19"/>
        <v>27707.15901360978</v>
      </c>
      <c r="K137" s="3">
        <v>5</v>
      </c>
    </row>
    <row r="138" spans="1:11" x14ac:dyDescent="0.35">
      <c r="A138" s="19">
        <v>131</v>
      </c>
      <c r="B138" s="20">
        <v>47576</v>
      </c>
      <c r="C138" s="21">
        <f t="shared" si="20"/>
        <v>14042.564506041579</v>
      </c>
      <c r="D138" s="21">
        <f t="shared" si="14"/>
        <v>289.44</v>
      </c>
      <c r="E138" s="21">
        <f t="shared" si="15"/>
        <v>37.212795941010164</v>
      </c>
      <c r="F138" s="21">
        <f t="shared" si="16"/>
        <v>252.2272040589923</v>
      </c>
      <c r="G138" s="29">
        <f t="shared" si="17"/>
        <v>13790.337301982587</v>
      </c>
      <c r="I138" s="23">
        <f t="shared" si="18"/>
        <v>9957.2537823315433</v>
      </c>
      <c r="J138" s="23">
        <f t="shared" si="19"/>
        <v>27959.386217668776</v>
      </c>
    </row>
    <row r="139" spans="1:11" x14ac:dyDescent="0.35">
      <c r="A139" s="19">
        <v>132</v>
      </c>
      <c r="B139" s="20">
        <v>47590</v>
      </c>
      <c r="C139" s="21">
        <f t="shared" si="20"/>
        <v>13790.337301982587</v>
      </c>
      <c r="D139" s="21">
        <f t="shared" si="14"/>
        <v>289.44</v>
      </c>
      <c r="E139" s="21">
        <f t="shared" si="15"/>
        <v>36.544393850253833</v>
      </c>
      <c r="F139" s="21">
        <f t="shared" si="16"/>
        <v>252.89560614974863</v>
      </c>
      <c r="G139" s="29">
        <f t="shared" si="17"/>
        <v>13537.441695832838</v>
      </c>
      <c r="I139" s="23">
        <f t="shared" si="18"/>
        <v>9993.798176181801</v>
      </c>
      <c r="J139" s="23">
        <f t="shared" si="19"/>
        <v>28212.281823818521</v>
      </c>
    </row>
    <row r="140" spans="1:11" x14ac:dyDescent="0.35">
      <c r="A140" s="19">
        <v>133</v>
      </c>
      <c r="B140" s="20">
        <v>47604</v>
      </c>
      <c r="C140" s="21">
        <f t="shared" si="20"/>
        <v>13537.441695832838</v>
      </c>
      <c r="D140" s="21">
        <f t="shared" si="14"/>
        <v>289.44</v>
      </c>
      <c r="E140" s="21">
        <f t="shared" si="15"/>
        <v>35.87422049395699</v>
      </c>
      <c r="F140" s="21">
        <f t="shared" si="16"/>
        <v>253.56577950604546</v>
      </c>
      <c r="G140" s="29">
        <f t="shared" si="17"/>
        <v>13283.875916326793</v>
      </c>
      <c r="I140" s="23">
        <f t="shared" si="18"/>
        <v>10029.67239667576</v>
      </c>
      <c r="J140" s="23">
        <f t="shared" si="19"/>
        <v>28465.847603324564</v>
      </c>
    </row>
    <row r="141" spans="1:11" x14ac:dyDescent="0.35">
      <c r="A141" s="19">
        <v>134</v>
      </c>
      <c r="B141" s="20">
        <v>47618</v>
      </c>
      <c r="C141" s="21">
        <f t="shared" si="20"/>
        <v>13283.875916326793</v>
      </c>
      <c r="D141" s="21">
        <f t="shared" si="14"/>
        <v>289.44</v>
      </c>
      <c r="E141" s="21">
        <f t="shared" si="15"/>
        <v>35.202271178265981</v>
      </c>
      <c r="F141" s="21">
        <f t="shared" si="16"/>
        <v>254.23772882173648</v>
      </c>
      <c r="G141" s="29">
        <f t="shared" si="17"/>
        <v>13029.638187505057</v>
      </c>
      <c r="I141" s="23">
        <f t="shared" si="18"/>
        <v>10064.874667854026</v>
      </c>
      <c r="J141" s="23">
        <f t="shared" si="19"/>
        <v>28720.0853321463</v>
      </c>
    </row>
    <row r="142" spans="1:11" x14ac:dyDescent="0.35">
      <c r="A142" s="19">
        <v>135</v>
      </c>
      <c r="B142" s="20">
        <v>47632</v>
      </c>
      <c r="C142" s="21">
        <f t="shared" si="20"/>
        <v>13029.638187505057</v>
      </c>
      <c r="D142" s="21">
        <f t="shared" si="14"/>
        <v>289.44</v>
      </c>
      <c r="E142" s="21">
        <f t="shared" si="15"/>
        <v>34.528541196888376</v>
      </c>
      <c r="F142" s="21">
        <f t="shared" si="16"/>
        <v>254.9114588031141</v>
      </c>
      <c r="G142" s="29">
        <f t="shared" si="17"/>
        <v>12774.726728701944</v>
      </c>
      <c r="I142" s="23">
        <f t="shared" si="18"/>
        <v>10099.403209050914</v>
      </c>
      <c r="J142" s="23">
        <f t="shared" si="19"/>
        <v>28974.996790949415</v>
      </c>
    </row>
    <row r="143" spans="1:11" x14ac:dyDescent="0.35">
      <c r="A143" s="19">
        <v>136</v>
      </c>
      <c r="B143" s="20">
        <v>47646</v>
      </c>
      <c r="C143" s="21">
        <f t="shared" si="20"/>
        <v>12774.726728701944</v>
      </c>
      <c r="D143" s="21">
        <f t="shared" si="14"/>
        <v>289.44</v>
      </c>
      <c r="E143" s="21">
        <f t="shared" si="15"/>
        <v>33.853025831060123</v>
      </c>
      <c r="F143" s="21">
        <f t="shared" si="16"/>
        <v>255.58697416894239</v>
      </c>
      <c r="G143" s="29">
        <f t="shared" si="17"/>
        <v>12519.139754533002</v>
      </c>
      <c r="I143" s="23">
        <f t="shared" si="18"/>
        <v>10133.25623488197</v>
      </c>
      <c r="J143" s="23">
        <f t="shared" si="19"/>
        <v>29230.583765118361</v>
      </c>
    </row>
    <row r="144" spans="1:11" x14ac:dyDescent="0.35">
      <c r="A144" s="19">
        <v>137</v>
      </c>
      <c r="B144" s="20">
        <v>47660</v>
      </c>
      <c r="C144" s="21">
        <f t="shared" si="20"/>
        <v>12519.139754533002</v>
      </c>
      <c r="D144" s="21">
        <f t="shared" si="14"/>
        <v>289.44</v>
      </c>
      <c r="E144" s="21">
        <f t="shared" si="15"/>
        <v>33.175720349512424</v>
      </c>
      <c r="F144" s="21">
        <f t="shared" si="16"/>
        <v>256.26427965049004</v>
      </c>
      <c r="G144" s="29">
        <f t="shared" si="17"/>
        <v>12262.875474882512</v>
      </c>
      <c r="I144" s="23">
        <f t="shared" si="18"/>
        <v>10166.431955231485</v>
      </c>
      <c r="J144" s="23">
        <f t="shared" si="19"/>
        <v>29486.848044768849</v>
      </c>
    </row>
    <row r="145" spans="1:10" x14ac:dyDescent="0.35">
      <c r="A145" s="19">
        <v>138</v>
      </c>
      <c r="B145" s="20">
        <v>47674</v>
      </c>
      <c r="C145" s="21">
        <f t="shared" si="20"/>
        <v>12262.875474882512</v>
      </c>
      <c r="D145" s="21">
        <f t="shared" si="14"/>
        <v>289.44</v>
      </c>
      <c r="E145" s="21">
        <f t="shared" si="15"/>
        <v>32.496620008438626</v>
      </c>
      <c r="F145" s="21">
        <f t="shared" si="16"/>
        <v>256.94337999156386</v>
      </c>
      <c r="G145" s="29">
        <f t="shared" si="17"/>
        <v>12005.932094890948</v>
      </c>
      <c r="I145" s="23">
        <f t="shared" si="18"/>
        <v>10198.928575239923</v>
      </c>
      <c r="J145" s="23">
        <f t="shared" si="19"/>
        <v>29743.791424760413</v>
      </c>
    </row>
    <row r="146" spans="1:10" x14ac:dyDescent="0.35">
      <c r="A146" s="19">
        <v>139</v>
      </c>
      <c r="B146" s="20">
        <v>47688</v>
      </c>
      <c r="C146" s="21">
        <f t="shared" si="20"/>
        <v>12005.932094890948</v>
      </c>
      <c r="D146" s="21">
        <f t="shared" si="14"/>
        <v>289.44</v>
      </c>
      <c r="E146" s="21">
        <f t="shared" si="15"/>
        <v>31.815720051460982</v>
      </c>
      <c r="F146" s="21">
        <f t="shared" si="16"/>
        <v>257.62427994854153</v>
      </c>
      <c r="G146" s="29">
        <f t="shared" si="17"/>
        <v>11748.307814942407</v>
      </c>
      <c r="I146" s="23">
        <f t="shared" si="18"/>
        <v>10230.744295291384</v>
      </c>
      <c r="J146" s="23">
        <f t="shared" si="19"/>
        <v>30001.415704708954</v>
      </c>
    </row>
    <row r="147" spans="1:10" x14ac:dyDescent="0.35">
      <c r="A147" s="19">
        <v>140</v>
      </c>
      <c r="B147" s="20">
        <v>47702</v>
      </c>
      <c r="C147" s="21">
        <f t="shared" si="20"/>
        <v>11748.307814942407</v>
      </c>
      <c r="D147" s="21">
        <f t="shared" si="14"/>
        <v>289.44</v>
      </c>
      <c r="E147" s="21">
        <f t="shared" si="15"/>
        <v>31.133015709597352</v>
      </c>
      <c r="F147" s="21">
        <f t="shared" si="16"/>
        <v>258.30698429040513</v>
      </c>
      <c r="G147" s="29">
        <f t="shared" si="17"/>
        <v>11490.000830652003</v>
      </c>
      <c r="I147" s="23">
        <f t="shared" si="18"/>
        <v>10261.877311000979</v>
      </c>
      <c r="J147" s="23">
        <f t="shared" si="19"/>
        <v>30259.722688999362</v>
      </c>
    </row>
    <row r="148" spans="1:10" x14ac:dyDescent="0.35">
      <c r="A148" s="19">
        <v>141</v>
      </c>
      <c r="B148" s="20">
        <v>47716</v>
      </c>
      <c r="C148" s="21">
        <f t="shared" si="20"/>
        <v>11490.000830652003</v>
      </c>
      <c r="D148" s="21">
        <f t="shared" si="14"/>
        <v>289.44</v>
      </c>
      <c r="E148" s="21">
        <f t="shared" si="15"/>
        <v>30.448502201227775</v>
      </c>
      <c r="F148" s="21">
        <f t="shared" si="16"/>
        <v>258.99149779877467</v>
      </c>
      <c r="G148" s="29">
        <f t="shared" si="17"/>
        <v>11231.009332853228</v>
      </c>
      <c r="I148" s="23">
        <f t="shared" si="18"/>
        <v>10292.325813202209</v>
      </c>
      <c r="J148" s="23">
        <f t="shared" si="19"/>
        <v>30518.714186798134</v>
      </c>
    </row>
    <row r="149" spans="1:10" x14ac:dyDescent="0.35">
      <c r="A149" s="19">
        <v>142</v>
      </c>
      <c r="B149" s="20">
        <v>47730</v>
      </c>
      <c r="C149" s="21">
        <f t="shared" si="20"/>
        <v>11231.009332853228</v>
      </c>
      <c r="D149" s="21">
        <f t="shared" si="14"/>
        <v>289.44</v>
      </c>
      <c r="E149" s="21">
        <f t="shared" si="15"/>
        <v>29.762174732061023</v>
      </c>
      <c r="F149" s="21">
        <f t="shared" si="16"/>
        <v>259.67782526794144</v>
      </c>
      <c r="G149" s="29">
        <f t="shared" si="17"/>
        <v>10971.331507585286</v>
      </c>
      <c r="I149" s="23">
        <f t="shared" si="18"/>
        <v>10322.087987934272</v>
      </c>
      <c r="J149" s="23">
        <f t="shared" si="19"/>
        <v>30778.392012066073</v>
      </c>
    </row>
    <row r="150" spans="1:10" x14ac:dyDescent="0.35">
      <c r="A150" s="19">
        <v>143</v>
      </c>
      <c r="B150" s="20">
        <v>47744</v>
      </c>
      <c r="C150" s="21">
        <f t="shared" si="20"/>
        <v>10971.331507585286</v>
      </c>
      <c r="D150" s="21">
        <f t="shared" si="14"/>
        <v>289.44</v>
      </c>
      <c r="E150" s="21">
        <f t="shared" si="15"/>
        <v>29.074028495100979</v>
      </c>
      <c r="F150" s="21">
        <f t="shared" si="16"/>
        <v>260.36597150490149</v>
      </c>
      <c r="G150" s="29">
        <f t="shared" si="17"/>
        <v>10710.965536080384</v>
      </c>
      <c r="I150" s="23">
        <f t="shared" si="18"/>
        <v>10351.162016429367</v>
      </c>
      <c r="J150" s="23">
        <f t="shared" si="19"/>
        <v>31038.75798357098</v>
      </c>
    </row>
    <row r="151" spans="1:10" x14ac:dyDescent="0.35">
      <c r="A151" s="19">
        <v>144</v>
      </c>
      <c r="B151" s="20">
        <v>47758</v>
      </c>
      <c r="C151" s="21">
        <f t="shared" si="20"/>
        <v>10710.965536080384</v>
      </c>
      <c r="D151" s="21">
        <f t="shared" si="14"/>
        <v>289.44</v>
      </c>
      <c r="E151" s="21">
        <f t="shared" si="15"/>
        <v>28.384058670612994</v>
      </c>
      <c r="F151" s="21">
        <f t="shared" si="16"/>
        <v>261.0559413293895</v>
      </c>
      <c r="G151" s="29">
        <f t="shared" si="17"/>
        <v>10449.909594750996</v>
      </c>
      <c r="I151" s="23">
        <f t="shared" si="18"/>
        <v>10379.546075099988</v>
      </c>
      <c r="J151" s="23">
        <f t="shared" si="19"/>
        <v>31299.813924900362</v>
      </c>
    </row>
    <row r="152" spans="1:10" x14ac:dyDescent="0.35">
      <c r="A152" s="19">
        <v>145</v>
      </c>
      <c r="B152" s="20">
        <v>47772</v>
      </c>
      <c r="C152" s="21">
        <f t="shared" si="20"/>
        <v>10449.909594750996</v>
      </c>
      <c r="D152" s="21">
        <f t="shared" si="14"/>
        <v>289.44</v>
      </c>
      <c r="E152" s="21">
        <f t="shared" si="15"/>
        <v>27.692260426090105</v>
      </c>
      <c r="F152" s="21">
        <f t="shared" si="16"/>
        <v>261.74773957391233</v>
      </c>
      <c r="G152" s="29">
        <f t="shared" si="17"/>
        <v>10188.161855177084</v>
      </c>
      <c r="I152" s="23">
        <f t="shared" si="18"/>
        <v>10407.238335526079</v>
      </c>
      <c r="J152" s="23">
        <f t="shared" si="19"/>
        <v>31561.561664474273</v>
      </c>
    </row>
    <row r="153" spans="1:10" x14ac:dyDescent="0.35">
      <c r="A153" s="19">
        <v>146</v>
      </c>
      <c r="B153" s="20">
        <v>47786</v>
      </c>
      <c r="C153" s="21">
        <f t="shared" si="20"/>
        <v>10188.161855177084</v>
      </c>
      <c r="D153" s="21">
        <f t="shared" si="14"/>
        <v>289.44</v>
      </c>
      <c r="E153" s="21">
        <f t="shared" si="15"/>
        <v>26.998628916219239</v>
      </c>
      <c r="F153" s="21">
        <f t="shared" si="16"/>
        <v>262.44137108378322</v>
      </c>
      <c r="G153" s="29">
        <f t="shared" si="17"/>
        <v>9925.7204840933009</v>
      </c>
      <c r="I153" s="23">
        <f t="shared" si="18"/>
        <v>10434.236964442291</v>
      </c>
      <c r="J153" s="23">
        <f t="shared" si="19"/>
        <v>31824.003035558064</v>
      </c>
    </row>
    <row r="154" spans="1:10" x14ac:dyDescent="0.35">
      <c r="A154" s="19">
        <v>147</v>
      </c>
      <c r="B154" s="20">
        <v>47800</v>
      </c>
      <c r="C154" s="21">
        <f t="shared" si="20"/>
        <v>9925.7204840933009</v>
      </c>
      <c r="D154" s="21">
        <f t="shared" si="14"/>
        <v>289.44</v>
      </c>
      <c r="E154" s="21">
        <f t="shared" si="15"/>
        <v>26.303159282847215</v>
      </c>
      <c r="F154" s="21">
        <f t="shared" si="16"/>
        <v>263.13684071715528</v>
      </c>
      <c r="G154" s="29">
        <f t="shared" si="17"/>
        <v>9662.5836433761451</v>
      </c>
      <c r="I154" s="23">
        <f t="shared" si="18"/>
        <v>10460.540123725139</v>
      </c>
      <c r="J154" s="23">
        <f t="shared" si="19"/>
        <v>32087.139876275218</v>
      </c>
    </row>
    <row r="155" spans="1:10" x14ac:dyDescent="0.35">
      <c r="A155" s="19">
        <v>148</v>
      </c>
      <c r="B155" s="20">
        <v>47814</v>
      </c>
      <c r="C155" s="21">
        <f t="shared" si="20"/>
        <v>9662.5836433761451</v>
      </c>
      <c r="D155" s="21">
        <f t="shared" si="14"/>
        <v>289.44</v>
      </c>
      <c r="E155" s="21">
        <f t="shared" si="15"/>
        <v>25.605846654946752</v>
      </c>
      <c r="F155" s="21">
        <f t="shared" si="16"/>
        <v>263.83415334505571</v>
      </c>
      <c r="G155" s="29">
        <f t="shared" si="17"/>
        <v>9398.7494900310885</v>
      </c>
      <c r="I155" s="23">
        <f t="shared" si="18"/>
        <v>10486.145970380087</v>
      </c>
      <c r="J155" s="23">
        <f t="shared" si="19"/>
        <v>32350.974029620273</v>
      </c>
    </row>
    <row r="156" spans="1:10" x14ac:dyDescent="0.35">
      <c r="A156" s="19">
        <v>149</v>
      </c>
      <c r="B156" s="20">
        <v>47828</v>
      </c>
      <c r="C156" s="21">
        <f t="shared" si="20"/>
        <v>9398.7494900310885</v>
      </c>
      <c r="D156" s="21">
        <f t="shared" si="14"/>
        <v>289.44</v>
      </c>
      <c r="E156" s="21">
        <f t="shared" si="15"/>
        <v>24.906686148582352</v>
      </c>
      <c r="F156" s="21">
        <f t="shared" si="16"/>
        <v>264.53331385142013</v>
      </c>
      <c r="G156" s="29">
        <f t="shared" si="17"/>
        <v>9134.2161761796688</v>
      </c>
      <c r="I156" s="23">
        <f t="shared" si="18"/>
        <v>10511.052656528675</v>
      </c>
      <c r="J156" s="23">
        <f t="shared" si="19"/>
        <v>32615.507343471687</v>
      </c>
    </row>
    <row r="157" spans="1:10" x14ac:dyDescent="0.35">
      <c r="A157" s="19">
        <v>150</v>
      </c>
      <c r="B157" s="20">
        <v>47842</v>
      </c>
      <c r="C157" s="21">
        <f t="shared" si="20"/>
        <v>9134.2161761796688</v>
      </c>
      <c r="D157" s="21">
        <f t="shared" si="14"/>
        <v>289.44</v>
      </c>
      <c r="E157" s="21">
        <f t="shared" si="15"/>
        <v>24.205672866876093</v>
      </c>
      <c r="F157" s="21">
        <f t="shared" si="16"/>
        <v>265.23432713312638</v>
      </c>
      <c r="G157" s="29">
        <f t="shared" si="17"/>
        <v>8868.9818490465423</v>
      </c>
      <c r="I157" s="23">
        <f t="shared" si="18"/>
        <v>10535.258329395539</v>
      </c>
      <c r="J157" s="23">
        <f t="shared" si="19"/>
        <v>32880.741670604824</v>
      </c>
    </row>
    <row r="158" spans="1:10" x14ac:dyDescent="0.35">
      <c r="A158" s="19">
        <v>151</v>
      </c>
      <c r="B158" s="20">
        <v>47856</v>
      </c>
      <c r="C158" s="21">
        <f t="shared" si="20"/>
        <v>8868.9818490465423</v>
      </c>
      <c r="D158" s="21">
        <f t="shared" si="14"/>
        <v>289.44</v>
      </c>
      <c r="E158" s="21">
        <f t="shared" si="15"/>
        <v>23.50280189997331</v>
      </c>
      <c r="F158" s="21">
        <f t="shared" si="16"/>
        <v>265.93719810002915</v>
      </c>
      <c r="G158" s="29">
        <f t="shared" si="17"/>
        <v>8603.0446509465128</v>
      </c>
      <c r="I158" s="23">
        <f t="shared" si="18"/>
        <v>10558.76113129552</v>
      </c>
      <c r="J158" s="23">
        <f t="shared" si="19"/>
        <v>33146.678868704847</v>
      </c>
    </row>
    <row r="159" spans="1:10" x14ac:dyDescent="0.35">
      <c r="A159" s="19">
        <v>152</v>
      </c>
      <c r="B159" s="20">
        <v>47870</v>
      </c>
      <c r="C159" s="21">
        <f t="shared" si="20"/>
        <v>8603.0446509465128</v>
      </c>
      <c r="D159" s="21">
        <f t="shared" si="14"/>
        <v>289.44</v>
      </c>
      <c r="E159" s="21">
        <f t="shared" si="15"/>
        <v>22.798068325008231</v>
      </c>
      <c r="F159" s="21">
        <f t="shared" si="16"/>
        <v>266.64193167499423</v>
      </c>
      <c r="G159" s="29">
        <f t="shared" si="17"/>
        <v>8336.4027192715184</v>
      </c>
      <c r="I159" s="23">
        <f t="shared" si="18"/>
        <v>10581.559199620526</v>
      </c>
      <c r="J159" s="23">
        <f t="shared" si="19"/>
        <v>33413.320800379843</v>
      </c>
    </row>
    <row r="160" spans="1:10" x14ac:dyDescent="0.35">
      <c r="A160" s="19">
        <v>153</v>
      </c>
      <c r="B160" s="20">
        <v>47884</v>
      </c>
      <c r="C160" s="21">
        <f t="shared" si="20"/>
        <v>8336.4027192715184</v>
      </c>
      <c r="D160" s="21">
        <f t="shared" si="14"/>
        <v>289.44</v>
      </c>
      <c r="E160" s="21">
        <f t="shared" si="15"/>
        <v>22.091467206069495</v>
      </c>
      <c r="F160" s="21">
        <f t="shared" si="16"/>
        <v>267.34853279393297</v>
      </c>
      <c r="G160" s="29">
        <f t="shared" si="17"/>
        <v>8069.0541864775851</v>
      </c>
      <c r="I160" s="23">
        <f t="shared" si="18"/>
        <v>10603.650666826587</v>
      </c>
      <c r="J160" s="23">
        <f t="shared" si="19"/>
        <v>33680.669333173784</v>
      </c>
    </row>
    <row r="161" spans="1:11" x14ac:dyDescent="0.35">
      <c r="A161" s="19">
        <v>154</v>
      </c>
      <c r="B161" s="20">
        <v>47898</v>
      </c>
      <c r="C161" s="21">
        <f t="shared" si="20"/>
        <v>8069.0541864775851</v>
      </c>
      <c r="D161" s="21">
        <f t="shared" si="14"/>
        <v>289.44</v>
      </c>
      <c r="E161" s="21">
        <f t="shared" si="15"/>
        <v>21.382993594165569</v>
      </c>
      <c r="F161" s="21">
        <f t="shared" si="16"/>
        <v>268.05700640583689</v>
      </c>
      <c r="G161" s="29">
        <f t="shared" si="17"/>
        <v>7800.9971800717485</v>
      </c>
      <c r="I161" s="23">
        <f t="shared" si="18"/>
        <v>10625.033660420762</v>
      </c>
      <c r="J161" s="23">
        <f t="shared" si="19"/>
        <v>33948.726339579611</v>
      </c>
    </row>
    <row r="162" spans="1:11" x14ac:dyDescent="0.35">
      <c r="A162" s="19">
        <v>155</v>
      </c>
      <c r="B162" s="20">
        <v>47912</v>
      </c>
      <c r="C162" s="21">
        <f t="shared" si="20"/>
        <v>7800.9971800717485</v>
      </c>
      <c r="D162" s="21">
        <f t="shared" si="14"/>
        <v>289.44</v>
      </c>
      <c r="E162" s="21">
        <f t="shared" si="15"/>
        <v>20.672642527190103</v>
      </c>
      <c r="F162" s="21">
        <f t="shared" si="16"/>
        <v>268.76735747281236</v>
      </c>
      <c r="G162" s="29">
        <f t="shared" si="17"/>
        <v>7532.2298225989362</v>
      </c>
      <c r="I162" s="23">
        <f t="shared" si="18"/>
        <v>10645.706302947954</v>
      </c>
      <c r="J162" s="23">
        <f t="shared" si="19"/>
        <v>34217.493697052421</v>
      </c>
    </row>
    <row r="163" spans="1:11" x14ac:dyDescent="0.35">
      <c r="A163" s="25">
        <v>156</v>
      </c>
      <c r="B163" s="26">
        <v>47926</v>
      </c>
      <c r="C163" s="22">
        <f t="shared" si="20"/>
        <v>7532.2298225989362</v>
      </c>
      <c r="D163" s="22">
        <f t="shared" si="14"/>
        <v>289.44</v>
      </c>
      <c r="E163" s="22">
        <f t="shared" si="15"/>
        <v>19.960409029887156</v>
      </c>
      <c r="F163" s="22">
        <f t="shared" si="16"/>
        <v>269.47959097011534</v>
      </c>
      <c r="G163" s="22">
        <f t="shared" si="17"/>
        <v>7262.750231628821</v>
      </c>
      <c r="H163" s="27"/>
      <c r="I163" s="28">
        <f t="shared" si="18"/>
        <v>10665.666711977836</v>
      </c>
      <c r="J163" s="28">
        <f t="shared" si="19"/>
        <v>34486.973288022542</v>
      </c>
      <c r="K163" s="3">
        <v>6</v>
      </c>
    </row>
    <row r="164" spans="1:11" x14ac:dyDescent="0.35">
      <c r="A164" s="19">
        <v>157</v>
      </c>
      <c r="B164" s="20">
        <v>47940</v>
      </c>
      <c r="C164" s="21">
        <f t="shared" si="20"/>
        <v>7262.750231628821</v>
      </c>
      <c r="D164" s="21">
        <f t="shared" si="14"/>
        <v>289.44</v>
      </c>
      <c r="E164" s="21">
        <f t="shared" si="15"/>
        <v>19.246288113816345</v>
      </c>
      <c r="F164" s="21">
        <f t="shared" si="16"/>
        <v>270.19371188618612</v>
      </c>
      <c r="G164" s="29">
        <f t="shared" si="17"/>
        <v>6992.5565197426349</v>
      </c>
      <c r="I164" s="23">
        <f t="shared" si="18"/>
        <v>10684.913000091656</v>
      </c>
      <c r="J164" s="23">
        <f t="shared" si="19"/>
        <v>34757.166999908724</v>
      </c>
    </row>
    <row r="165" spans="1:11" x14ac:dyDescent="0.35">
      <c r="A165" s="19">
        <v>158</v>
      </c>
      <c r="B165" s="20">
        <v>47954</v>
      </c>
      <c r="C165" s="21">
        <f t="shared" si="20"/>
        <v>6992.5565197426349</v>
      </c>
      <c r="D165" s="21">
        <f t="shared" si="14"/>
        <v>289.44</v>
      </c>
      <c r="E165" s="21">
        <f t="shared" si="15"/>
        <v>18.530274777317953</v>
      </c>
      <c r="F165" s="21">
        <f t="shared" si="16"/>
        <v>270.90972522268453</v>
      </c>
      <c r="G165" s="29">
        <f t="shared" si="17"/>
        <v>6721.6467945199502</v>
      </c>
      <c r="I165" s="23">
        <f t="shared" si="18"/>
        <v>10703.443274868965</v>
      </c>
      <c r="J165" s="23">
        <f t="shared" si="19"/>
        <v>35028.076725131417</v>
      </c>
    </row>
    <row r="166" spans="1:11" x14ac:dyDescent="0.35">
      <c r="A166" s="19">
        <v>159</v>
      </c>
      <c r="B166" s="20">
        <v>47968</v>
      </c>
      <c r="C166" s="21">
        <f t="shared" si="20"/>
        <v>6721.6467945199502</v>
      </c>
      <c r="D166" s="21">
        <f t="shared" si="14"/>
        <v>289.44</v>
      </c>
      <c r="E166" s="21">
        <f t="shared" si="15"/>
        <v>17.812364005477839</v>
      </c>
      <c r="F166" s="21">
        <f t="shared" si="16"/>
        <v>271.62763599452461</v>
      </c>
      <c r="G166" s="29">
        <f t="shared" si="17"/>
        <v>6450.0191585254252</v>
      </c>
      <c r="I166" s="23">
        <f t="shared" si="18"/>
        <v>10721.255638874442</v>
      </c>
      <c r="J166" s="23">
        <f t="shared" si="19"/>
        <v>35299.704361125943</v>
      </c>
    </row>
    <row r="167" spans="1:11" x14ac:dyDescent="0.35">
      <c r="A167" s="19">
        <v>160</v>
      </c>
      <c r="B167" s="20">
        <v>47982</v>
      </c>
      <c r="C167" s="21">
        <f t="shared" si="20"/>
        <v>6450.0191585254252</v>
      </c>
      <c r="D167" s="21">
        <f t="shared" si="14"/>
        <v>289.44</v>
      </c>
      <c r="E167" s="21">
        <f t="shared" si="15"/>
        <v>17.092550770092348</v>
      </c>
      <c r="F167" s="21">
        <f t="shared" si="16"/>
        <v>272.34744922991013</v>
      </c>
      <c r="G167" s="29">
        <f t="shared" si="17"/>
        <v>6177.671709295515</v>
      </c>
      <c r="I167" s="23">
        <f t="shared" si="18"/>
        <v>10738.348189644545</v>
      </c>
      <c r="J167" s="23">
        <f t="shared" si="19"/>
        <v>35572.051810355842</v>
      </c>
    </row>
    <row r="168" spans="1:11" x14ac:dyDescent="0.35">
      <c r="A168" s="19">
        <v>161</v>
      </c>
      <c r="B168" s="20">
        <v>47996</v>
      </c>
      <c r="C168" s="21">
        <f t="shared" si="20"/>
        <v>6177.671709295515</v>
      </c>
      <c r="D168" s="21">
        <f t="shared" si="14"/>
        <v>289.44</v>
      </c>
      <c r="E168" s="21">
        <f t="shared" si="15"/>
        <v>16.370830029633087</v>
      </c>
      <c r="F168" s="21">
        <f t="shared" si="16"/>
        <v>273.06916997036939</v>
      </c>
      <c r="G168" s="29">
        <f t="shared" si="17"/>
        <v>5904.6025393251457</v>
      </c>
      <c r="I168" s="23">
        <f t="shared" si="18"/>
        <v>10754.719019674187</v>
      </c>
      <c r="J168" s="23">
        <f t="shared" si="19"/>
        <v>35845.12098032621</v>
      </c>
    </row>
    <row r="169" spans="1:11" x14ac:dyDescent="0.35">
      <c r="A169" s="19">
        <v>162</v>
      </c>
      <c r="B169" s="20">
        <v>48010</v>
      </c>
      <c r="C169" s="21">
        <f t="shared" si="20"/>
        <v>5904.6025393251457</v>
      </c>
      <c r="D169" s="21">
        <f t="shared" si="14"/>
        <v>289.44</v>
      </c>
      <c r="E169" s="21">
        <f t="shared" si="15"/>
        <v>15.647196729211608</v>
      </c>
      <c r="F169" s="21">
        <f t="shared" si="16"/>
        <v>273.79280327079084</v>
      </c>
      <c r="G169" s="29">
        <f t="shared" si="17"/>
        <v>5630.8097360543552</v>
      </c>
      <c r="I169" s="23">
        <f t="shared" si="18"/>
        <v>10770.366216403389</v>
      </c>
      <c r="J169" s="23">
        <f t="shared" si="19"/>
        <v>36118.91378359701</v>
      </c>
    </row>
    <row r="170" spans="1:11" x14ac:dyDescent="0.35">
      <c r="A170" s="19">
        <v>163</v>
      </c>
      <c r="B170" s="20">
        <v>48024</v>
      </c>
      <c r="C170" s="21">
        <f t="shared" si="20"/>
        <v>5630.8097360543552</v>
      </c>
      <c r="D170" s="21">
        <f t="shared" si="14"/>
        <v>289.44</v>
      </c>
      <c r="E170" s="21">
        <f t="shared" si="15"/>
        <v>14.921645800544013</v>
      </c>
      <c r="F170" s="21">
        <f t="shared" si="16"/>
        <v>274.51835419945849</v>
      </c>
      <c r="G170" s="29">
        <f t="shared" si="17"/>
        <v>5356.2913818548968</v>
      </c>
      <c r="I170" s="23">
        <f t="shared" si="18"/>
        <v>10785.287862203935</v>
      </c>
      <c r="J170" s="23">
        <f t="shared" si="19"/>
        <v>36393.432137796466</v>
      </c>
    </row>
    <row r="171" spans="1:11" x14ac:dyDescent="0.35">
      <c r="A171" s="19">
        <v>164</v>
      </c>
      <c r="B171" s="20">
        <v>48038</v>
      </c>
      <c r="C171" s="21">
        <f t="shared" si="20"/>
        <v>5356.2913818548968</v>
      </c>
      <c r="D171" s="21">
        <f t="shared" si="14"/>
        <v>289.44</v>
      </c>
      <c r="E171" s="21">
        <f t="shared" si="15"/>
        <v>14.194172161915448</v>
      </c>
      <c r="F171" s="21">
        <f t="shared" si="16"/>
        <v>275.245827838087</v>
      </c>
      <c r="G171" s="29">
        <f t="shared" si="17"/>
        <v>5081.0455540168095</v>
      </c>
      <c r="I171" s="23">
        <f t="shared" si="18"/>
        <v>10799.48203436585</v>
      </c>
      <c r="J171" s="23">
        <f t="shared" si="19"/>
        <v>36668.677965634553</v>
      </c>
    </row>
    <row r="172" spans="1:11" x14ac:dyDescent="0.35">
      <c r="A172" s="19">
        <v>165</v>
      </c>
      <c r="B172" s="20">
        <v>48052</v>
      </c>
      <c r="C172" s="21">
        <f t="shared" si="20"/>
        <v>5081.0455540168095</v>
      </c>
      <c r="D172" s="21">
        <f t="shared" si="14"/>
        <v>289.44</v>
      </c>
      <c r="E172" s="21">
        <f t="shared" si="15"/>
        <v>13.46477071814452</v>
      </c>
      <c r="F172" s="21">
        <f t="shared" si="16"/>
        <v>275.97522928185793</v>
      </c>
      <c r="G172" s="29">
        <f t="shared" si="17"/>
        <v>4805.070324734952</v>
      </c>
      <c r="I172" s="23">
        <f t="shared" si="18"/>
        <v>10812.946805083993</v>
      </c>
      <c r="J172" s="23">
        <f t="shared" si="19"/>
        <v>36944.653194916413</v>
      </c>
    </row>
    <row r="173" spans="1:11" x14ac:dyDescent="0.35">
      <c r="A173" s="19">
        <v>166</v>
      </c>
      <c r="B173" s="20">
        <v>48066</v>
      </c>
      <c r="C173" s="21">
        <f t="shared" si="20"/>
        <v>4805.070324734952</v>
      </c>
      <c r="D173" s="21">
        <f t="shared" si="14"/>
        <v>289.44</v>
      </c>
      <c r="E173" s="21">
        <f t="shared" si="15"/>
        <v>12.733436360547595</v>
      </c>
      <c r="F173" s="21">
        <f t="shared" si="16"/>
        <v>276.70656363945488</v>
      </c>
      <c r="G173" s="29">
        <f t="shared" si="17"/>
        <v>4528.3637610954975</v>
      </c>
      <c r="I173" s="23">
        <f t="shared" si="18"/>
        <v>10825.680241444541</v>
      </c>
      <c r="J173" s="23">
        <f t="shared" si="19"/>
        <v>37221.359758555867</v>
      </c>
    </row>
    <row r="174" spans="1:11" x14ac:dyDescent="0.35">
      <c r="A174" s="19">
        <v>167</v>
      </c>
      <c r="B174" s="20">
        <v>48080</v>
      </c>
      <c r="C174" s="21">
        <f t="shared" si="20"/>
        <v>4528.3637610954975</v>
      </c>
      <c r="D174" s="21">
        <f t="shared" si="14"/>
        <v>289.44</v>
      </c>
      <c r="E174" s="21">
        <f t="shared" si="15"/>
        <v>12.000163966903036</v>
      </c>
      <c r="F174" s="21">
        <f t="shared" si="16"/>
        <v>277.43983603309943</v>
      </c>
      <c r="G174" s="29">
        <f t="shared" si="17"/>
        <v>4250.9239250623978</v>
      </c>
      <c r="I174" s="23">
        <f t="shared" si="18"/>
        <v>10837.680405411455</v>
      </c>
      <c r="J174" s="23">
        <f t="shared" si="19"/>
        <v>37498.799594588956</v>
      </c>
    </row>
    <row r="175" spans="1:11" x14ac:dyDescent="0.35">
      <c r="A175" s="19">
        <v>168</v>
      </c>
      <c r="B175" s="20">
        <v>48094</v>
      </c>
      <c r="C175" s="21">
        <f t="shared" si="20"/>
        <v>4250.9239250623978</v>
      </c>
      <c r="D175" s="21">
        <f t="shared" si="14"/>
        <v>289.44</v>
      </c>
      <c r="E175" s="21">
        <f t="shared" si="15"/>
        <v>11.264948401415324</v>
      </c>
      <c r="F175" s="21">
        <f t="shared" si="16"/>
        <v>278.17505159858717</v>
      </c>
      <c r="G175" s="29">
        <f t="shared" si="17"/>
        <v>3972.7488734638105</v>
      </c>
      <c r="I175" s="23">
        <f t="shared" si="18"/>
        <v>10848.945353812866</v>
      </c>
      <c r="J175" s="23">
        <f t="shared" si="19"/>
        <v>37776.974646187547</v>
      </c>
    </row>
    <row r="176" spans="1:11" x14ac:dyDescent="0.35">
      <c r="A176" s="19">
        <v>169</v>
      </c>
      <c r="B176" s="20">
        <v>48108</v>
      </c>
      <c r="C176" s="21">
        <f t="shared" si="20"/>
        <v>3972.7488734638105</v>
      </c>
      <c r="D176" s="21">
        <f t="shared" si="14"/>
        <v>289.44</v>
      </c>
      <c r="E176" s="21">
        <f t="shared" si="15"/>
        <v>10.52778451467907</v>
      </c>
      <c r="F176" s="21">
        <f t="shared" si="16"/>
        <v>278.91221548532337</v>
      </c>
      <c r="G176" s="29">
        <f t="shared" si="17"/>
        <v>3693.836657978487</v>
      </c>
      <c r="I176" s="23">
        <f t="shared" si="18"/>
        <v>10859.473138327543</v>
      </c>
      <c r="J176" s="23">
        <f t="shared" si="19"/>
        <v>38055.886861672872</v>
      </c>
    </row>
    <row r="177" spans="1:11" x14ac:dyDescent="0.35">
      <c r="A177" s="19">
        <v>170</v>
      </c>
      <c r="B177" s="20">
        <v>48122</v>
      </c>
      <c r="C177" s="21">
        <f t="shared" si="20"/>
        <v>3693.836657978487</v>
      </c>
      <c r="D177" s="21" t="s">
        <v>26</v>
      </c>
      <c r="E177" s="21">
        <f t="shared" si="15"/>
        <v>9.7886671436429626</v>
      </c>
      <c r="F177" s="21">
        <f t="shared" si="16"/>
        <v>279.65133285635949</v>
      </c>
      <c r="G177" s="29">
        <f t="shared" si="17"/>
        <v>3414.1853251221273</v>
      </c>
      <c r="I177" s="23">
        <f t="shared" si="18"/>
        <v>10869.261805471178</v>
      </c>
      <c r="J177" s="23">
        <f t="shared" si="19"/>
        <v>38335.538194529239</v>
      </c>
    </row>
    <row r="178" spans="1:11" x14ac:dyDescent="0.35">
      <c r="A178" s="19">
        <v>171</v>
      </c>
      <c r="B178" s="20">
        <v>48136</v>
      </c>
      <c r="C178" s="21">
        <f t="shared" si="20"/>
        <v>3414.1853251221273</v>
      </c>
      <c r="D178" s="21">
        <f t="shared" si="14"/>
        <v>289.44</v>
      </c>
      <c r="E178" s="21">
        <f t="shared" si="15"/>
        <v>9.0475911115736096</v>
      </c>
      <c r="F178" s="21">
        <f t="shared" si="16"/>
        <v>280.39240888842886</v>
      </c>
      <c r="G178" s="29">
        <f t="shared" si="17"/>
        <v>3133.7929162336986</v>
      </c>
      <c r="I178" s="23">
        <f t="shared" si="18"/>
        <v>10878.309396582757</v>
      </c>
      <c r="J178" s="23">
        <f t="shared" si="19"/>
        <v>38615.930603417662</v>
      </c>
    </row>
    <row r="179" spans="1:11" x14ac:dyDescent="0.35">
      <c r="A179" s="19">
        <v>172</v>
      </c>
      <c r="B179" s="20">
        <v>48150</v>
      </c>
      <c r="C179" s="21">
        <f t="shared" si="20"/>
        <v>3133.7929162336986</v>
      </c>
      <c r="D179" s="21">
        <f t="shared" si="14"/>
        <v>289.44</v>
      </c>
      <c r="E179" s="21">
        <f t="shared" si="15"/>
        <v>8.3045512280192728</v>
      </c>
      <c r="F179" s="21">
        <f t="shared" si="16"/>
        <v>281.13544877198319</v>
      </c>
      <c r="G179" s="29">
        <f t="shared" si="17"/>
        <v>2852.6574674617154</v>
      </c>
      <c r="I179" s="23">
        <f t="shared" si="18"/>
        <v>10886.61394781078</v>
      </c>
      <c r="J179" s="23">
        <f t="shared" si="19"/>
        <v>38897.066052189643</v>
      </c>
    </row>
    <row r="180" spans="1:11" x14ac:dyDescent="0.35">
      <c r="A180" s="19">
        <v>173</v>
      </c>
      <c r="B180" s="20">
        <v>48164</v>
      </c>
      <c r="C180" s="21">
        <f t="shared" si="20"/>
        <v>2852.6574674617154</v>
      </c>
      <c r="D180" s="21">
        <f t="shared" si="14"/>
        <v>289.44</v>
      </c>
      <c r="E180" s="21">
        <f t="shared" si="15"/>
        <v>7.5595422887735184</v>
      </c>
      <c r="F180" s="21">
        <f t="shared" si="16"/>
        <v>281.88045771122893</v>
      </c>
      <c r="G180" s="29">
        <f t="shared" si="17"/>
        <v>2570.7770097504863</v>
      </c>
      <c r="I180" s="23">
        <f t="shared" si="18"/>
        <v>10894.173490099551</v>
      </c>
      <c r="J180" s="23">
        <f t="shared" si="19"/>
        <v>39178.946509900874</v>
      </c>
    </row>
    <row r="181" spans="1:11" x14ac:dyDescent="0.35">
      <c r="A181" s="19">
        <v>174</v>
      </c>
      <c r="B181" s="20">
        <v>48178</v>
      </c>
      <c r="C181" s="21">
        <f t="shared" si="20"/>
        <v>2570.7770097504863</v>
      </c>
      <c r="D181" s="21">
        <f t="shared" si="14"/>
        <v>289.44</v>
      </c>
      <c r="E181" s="21">
        <f t="shared" si="15"/>
        <v>6.8125590758387595</v>
      </c>
      <c r="F181" s="21">
        <f t="shared" si="16"/>
        <v>282.62744092416369</v>
      </c>
      <c r="G181" s="29">
        <f t="shared" si="17"/>
        <v>2288.1495688263226</v>
      </c>
      <c r="I181" s="23">
        <f t="shared" si="18"/>
        <v>10900.986049175379</v>
      </c>
      <c r="J181" s="23">
        <f>-CUMPRINC(E$3,E$4,E$2,A$8,A181,0)</f>
        <v>39461.573950825048</v>
      </c>
    </row>
    <row r="182" spans="1:11" x14ac:dyDescent="0.35">
      <c r="A182" s="19">
        <v>175</v>
      </c>
      <c r="B182" s="20">
        <v>48192</v>
      </c>
      <c r="C182" s="21">
        <f t="shared" si="20"/>
        <v>2288.1495688263226</v>
      </c>
      <c r="D182" s="21">
        <f t="shared" si="14"/>
        <v>289.44</v>
      </c>
      <c r="E182" s="21">
        <f t="shared" si="15"/>
        <v>6.0635963573897271</v>
      </c>
      <c r="F182" s="21">
        <f t="shared" si="16"/>
        <v>283.37640364261273</v>
      </c>
      <c r="G182" s="29">
        <f t="shared" si="17"/>
        <v>2004.7731651837098</v>
      </c>
      <c r="I182" s="23">
        <f t="shared" si="18"/>
        <v>10907.049645532774</v>
      </c>
      <c r="J182" s="23">
        <f t="shared" si="19"/>
        <v>39744.950354467655</v>
      </c>
    </row>
    <row r="183" spans="1:11" x14ac:dyDescent="0.35">
      <c r="A183" s="19">
        <v>176</v>
      </c>
      <c r="B183" s="20">
        <v>48206</v>
      </c>
      <c r="C183" s="21">
        <f t="shared" si="20"/>
        <v>2004.7731651837098</v>
      </c>
      <c r="D183" s="21">
        <f t="shared" si="14"/>
        <v>289.44</v>
      </c>
      <c r="E183" s="21">
        <f t="shared" si="15"/>
        <v>5.3126488877368025</v>
      </c>
      <c r="F183" s="21">
        <f t="shared" si="16"/>
        <v>284.12735111226567</v>
      </c>
      <c r="G183" s="29">
        <f t="shared" si="17"/>
        <v>1720.6458140714442</v>
      </c>
      <c r="I183" s="23">
        <f t="shared" si="18"/>
        <v>10912.362294420513</v>
      </c>
      <c r="J183" s="23">
        <f t="shared" si="19"/>
        <v>40029.077705579919</v>
      </c>
    </row>
    <row r="184" spans="1:11" x14ac:dyDescent="0.35">
      <c r="A184" s="19">
        <v>177</v>
      </c>
      <c r="B184" s="20">
        <v>48220</v>
      </c>
      <c r="C184" s="21">
        <f t="shared" si="20"/>
        <v>1720.6458140714442</v>
      </c>
      <c r="D184" s="21">
        <f t="shared" si="14"/>
        <v>289.44</v>
      </c>
      <c r="E184" s="21">
        <f t="shared" si="15"/>
        <v>4.5597114072892992</v>
      </c>
      <c r="F184" s="21">
        <f t="shared" si="16"/>
        <v>284.88028859271316</v>
      </c>
      <c r="G184" s="29">
        <f t="shared" si="17"/>
        <v>1435.765525478731</v>
      </c>
      <c r="I184" s="23">
        <f t="shared" si="18"/>
        <v>10916.922005827808</v>
      </c>
      <c r="J184" s="23">
        <f t="shared" si="19"/>
        <v>40313.957994172626</v>
      </c>
    </row>
    <row r="185" spans="1:11" x14ac:dyDescent="0.35">
      <c r="A185" s="19">
        <v>178</v>
      </c>
      <c r="B185" s="20">
        <v>48234</v>
      </c>
      <c r="C185" s="21">
        <f t="shared" si="20"/>
        <v>1435.765525478731</v>
      </c>
      <c r="D185" s="21">
        <f t="shared" si="14"/>
        <v>289.44</v>
      </c>
      <c r="E185" s="21">
        <f t="shared" si="15"/>
        <v>3.8047786425186092</v>
      </c>
      <c r="F185" s="21">
        <f t="shared" si="16"/>
        <v>285.63522135748383</v>
      </c>
      <c r="G185" s="29">
        <f t="shared" si="17"/>
        <v>1150.1303041212473</v>
      </c>
      <c r="I185" s="23">
        <f t="shared" si="18"/>
        <v>10920.726784470316</v>
      </c>
      <c r="J185" s="23">
        <f t="shared" si="19"/>
        <v>40599.59321553012</v>
      </c>
    </row>
    <row r="186" spans="1:11" x14ac:dyDescent="0.35">
      <c r="A186" s="19">
        <v>179</v>
      </c>
      <c r="B186" s="20">
        <v>48248</v>
      </c>
      <c r="C186" s="21">
        <f t="shared" si="20"/>
        <v>1150.1303041212473</v>
      </c>
      <c r="D186" s="21">
        <f t="shared" si="14"/>
        <v>289.44</v>
      </c>
      <c r="E186" s="21">
        <f t="shared" si="15"/>
        <v>3.0478453059212764</v>
      </c>
      <c r="F186" s="21">
        <f t="shared" si="16"/>
        <v>286.39215469408117</v>
      </c>
      <c r="G186" s="29">
        <f t="shared" si="17"/>
        <v>863.73814942716604</v>
      </c>
      <c r="I186" s="23">
        <f t="shared" si="18"/>
        <v>10923.774629776242</v>
      </c>
      <c r="J186" s="23">
        <f t="shared" si="19"/>
        <v>40885.985370224196</v>
      </c>
    </row>
    <row r="187" spans="1:11" x14ac:dyDescent="0.35">
      <c r="A187" s="19">
        <v>180</v>
      </c>
      <c r="B187" s="20">
        <v>48262</v>
      </c>
      <c r="C187" s="21">
        <f t="shared" si="20"/>
        <v>863.73814942716604</v>
      </c>
      <c r="D187" s="21">
        <f t="shared" si="14"/>
        <v>289.44</v>
      </c>
      <c r="E187" s="21">
        <f t="shared" si="15"/>
        <v>2.2889060959819618</v>
      </c>
      <c r="F187" s="21">
        <f t="shared" si="16"/>
        <v>287.15109390402051</v>
      </c>
      <c r="G187" s="29">
        <f t="shared" si="17"/>
        <v>576.58705552314552</v>
      </c>
      <c r="I187" s="23">
        <f t="shared" si="18"/>
        <v>10926.063535872221</v>
      </c>
      <c r="J187" s="23">
        <f t="shared" si="19"/>
        <v>41173.13646412822</v>
      </c>
    </row>
    <row r="188" spans="1:11" x14ac:dyDescent="0.35">
      <c r="A188" s="19">
        <v>181</v>
      </c>
      <c r="B188" s="20">
        <v>48276</v>
      </c>
      <c r="C188" s="21">
        <f t="shared" si="20"/>
        <v>576.58705552314552</v>
      </c>
      <c r="D188" s="21">
        <f t="shared" si="14"/>
        <v>289.44</v>
      </c>
      <c r="E188" s="21">
        <f t="shared" si="15"/>
        <v>1.5279556971363073</v>
      </c>
      <c r="F188" s="21">
        <f t="shared" si="16"/>
        <v>287.91204430286615</v>
      </c>
      <c r="G188" s="29">
        <f t="shared" si="17"/>
        <v>288.67501122027937</v>
      </c>
      <c r="I188" s="23">
        <f t="shared" si="18"/>
        <v>10927.591491569365</v>
      </c>
      <c r="J188" s="23">
        <f t="shared" si="19"/>
        <v>41461.048508431079</v>
      </c>
    </row>
    <row r="189" spans="1:11" x14ac:dyDescent="0.35">
      <c r="A189" s="25">
        <v>182</v>
      </c>
      <c r="B189" s="26">
        <v>48290</v>
      </c>
      <c r="C189" s="22">
        <f t="shared" si="20"/>
        <v>288.67501122027937</v>
      </c>
      <c r="D189" s="22">
        <f t="shared" si="14"/>
        <v>289.44</v>
      </c>
      <c r="E189" s="22">
        <f t="shared" si="15"/>
        <v>0.76498877973371215</v>
      </c>
      <c r="F189" s="22">
        <f t="shared" si="16"/>
        <v>288.67501122026874</v>
      </c>
      <c r="G189" s="22">
        <f t="shared" si="17"/>
        <v>1.0629719326971099E-11</v>
      </c>
      <c r="H189" s="27"/>
      <c r="I189" s="28">
        <f t="shared" si="18"/>
        <v>10928.356480349088</v>
      </c>
      <c r="J189" s="28">
        <f t="shared" si="19"/>
        <v>41749.723519651357</v>
      </c>
      <c r="K189" s="3">
        <v>7</v>
      </c>
    </row>
    <row r="190" spans="1:11" ht="16.5" thickBot="1" x14ac:dyDescent="0.45">
      <c r="A190" s="30" t="s">
        <v>27</v>
      </c>
      <c r="B190" s="30"/>
      <c r="C190" s="21">
        <f t="shared" si="20"/>
        <v>1.0629719326971099E-11</v>
      </c>
      <c r="D190" s="31">
        <f>SUM(D8:D189)</f>
        <v>52388.640000000094</v>
      </c>
      <c r="E190" s="32">
        <f>SUM(E8:E189)</f>
        <v>10928.356480349099</v>
      </c>
      <c r="F190" s="32">
        <f>SUM(F8:F189)</f>
        <v>41749.723519651372</v>
      </c>
    </row>
    <row r="191" spans="1:11" ht="15" thickTop="1" x14ac:dyDescent="0.35"/>
    <row r="192" spans="1:11" x14ac:dyDescent="0.35">
      <c r="K192" s="24" t="s">
        <v>28</v>
      </c>
    </row>
    <row r="195" spans="4:4" x14ac:dyDescent="0.35">
      <c r="D195" s="24" t="s">
        <v>29</v>
      </c>
    </row>
  </sheetData>
  <autoFilter ref="A7:J7" xr:uid="{D6CD7563-51D9-482B-9470-08022AA0F423}"/>
  <conditionalFormatting sqref="B8:B189">
    <cfRule type="timePeriod" dxfId="0" priority="1" timePeriod="thisMonth">
      <formula>AND(MONTH(B8)=MONTH(TODAY()),YEAR(B8)=YEAR(TODAY()))</formula>
    </cfRule>
  </conditionalFormatting>
  <pageMargins left="0.7" right="0.7" top="0.75" bottom="0.75" header="0.3" footer="0.3"/>
  <pageSetup scale="3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Finances - Nissan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Kanani</dc:creator>
  <cp:lastModifiedBy>Morteza Kanani</cp:lastModifiedBy>
  <dcterms:created xsi:type="dcterms:W3CDTF">2025-11-04T00:55:01Z</dcterms:created>
  <dcterms:modified xsi:type="dcterms:W3CDTF">2025-11-04T00:56:43Z</dcterms:modified>
</cp:coreProperties>
</file>